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🎵 Dashboard" sheetId="1" r:id="rId4"/>
    <sheet state="visible" name="Raw_Data" sheetId="2" r:id="rId5"/>
    <sheet state="visible" name="🎨 Genre Analysis" sheetId="3" r:id="rId6"/>
    <sheet state="visible" name="📈 Trend Analysis" sheetId="4" r:id="rId7"/>
    <sheet state="visible" name="🌍 Country Analysis" sheetId="5" r:id="rId8"/>
  </sheets>
  <definedNames>
    <definedName hidden="1" localSheetId="1" name="_xlnm._FilterDatabase">Raw_Data!$A$1:$M$62</definedName>
  </definedNames>
  <calcPr/>
  <extLst>
    <ext uri="GoogleSheetsCustomDataVersion2">
      <go:sheetsCustomData xmlns:go="http://customooxmlschemas.google.com/" r:id="rId9" roundtripDataChecksum="8m3xNC3mtrLQTM0QjSyuNeFL5jhMaaDH/BDiSsBaHlw="/>
    </ext>
  </extLst>
</workbook>
</file>

<file path=xl/sharedStrings.xml><?xml version="1.0" encoding="utf-8"?>
<sst xmlns="http://schemas.openxmlformats.org/spreadsheetml/2006/main" count="745" uniqueCount="209">
  <si>
    <t xml:space="preserve">  SPOTIFY GLOBAL TOP SONGS 2026 : Analytics Dashboard</t>
  </si>
  <si>
    <t xml:space="preserve">  GLOBAL CHARTS  ·  200 TRACKS  ·  LIVE RANKINGS  ·  STREAM ANALYTICS</t>
  </si>
  <si>
    <t>TOTAL STREAMS</t>
  </si>
  <si>
    <t>AVG STREAMS</t>
  </si>
  <si>
    <t>RISING TRACKS</t>
  </si>
  <si>
    <t>UNIQUE ARTISTS</t>
  </si>
  <si>
    <t>AVG DAYS</t>
  </si>
  <si>
    <t>TOTAL 7-DAY</t>
  </si>
  <si>
    <t>PEAK STREAMS</t>
  </si>
  <si>
    <t>TRENDING</t>
  </si>
  <si>
    <t>EVERGREEN</t>
  </si>
  <si>
    <t>NEW TRACKS</t>
  </si>
  <si>
    <t>Across top 200</t>
  </si>
  <si>
    <t>Mean daily</t>
  </si>
  <si>
    <t>Positive change</t>
  </si>
  <si>
    <t>In top chart</t>
  </si>
  <si>
    <t>Mean age</t>
  </si>
  <si>
    <t>7-day total</t>
  </si>
  <si>
    <t>Single track</t>
  </si>
  <si>
    <t>High pop.</t>
  </si>
  <si>
    <t>Long-life</t>
  </si>
  <si>
    <t>Fresh entries</t>
  </si>
  <si>
    <t xml:space="preserve">  TOP 20 TRACKS BY STREAMS</t>
  </si>
  <si>
    <t xml:space="preserve">  ARTIST LEADERBOARD</t>
  </si>
  <si>
    <t>#</t>
  </si>
  <si>
    <t>Track</t>
  </si>
  <si>
    <t>Artist</t>
  </si>
  <si>
    <t>Streams</t>
  </si>
  <si>
    <t>7-Day</t>
  </si>
  <si>
    <t>Country</t>
  </si>
  <si>
    <t>Tracks</t>
  </si>
  <si>
    <t>Tot. Streams</t>
  </si>
  <si>
    <t>SWIM</t>
  </si>
  <si>
    <t>BTS</t>
  </si>
  <si>
    <t>🇰🇷KR</t>
  </si>
  <si>
    <t>Body to Body</t>
  </si>
  <si>
    <t>Bad Bunny</t>
  </si>
  <si>
    <t>🇵🇷PR</t>
  </si>
  <si>
    <t>Babydoll</t>
  </si>
  <si>
    <t>Dominic Fike</t>
  </si>
  <si>
    <t>Bruno Mars</t>
  </si>
  <si>
    <t>🇺🇸US</t>
  </si>
  <si>
    <t>Hooligan</t>
  </si>
  <si>
    <t>Olivia Dean</t>
  </si>
  <si>
    <t>FYA</t>
  </si>
  <si>
    <t>🇺🇸Florida</t>
  </si>
  <si>
    <t>NORMAL</t>
  </si>
  <si>
    <t>Taylor Swift</t>
  </si>
  <si>
    <t>Stateside + Zara Larsson</t>
  </si>
  <si>
    <t>PinkPantheress</t>
  </si>
  <si>
    <t>Sabrina Carpenter</t>
  </si>
  <si>
    <t>Aliens</t>
  </si>
  <si>
    <t>🏴󠁧󠁢󠁥󠁮󠁧󠁿England</t>
  </si>
  <si>
    <t>2</t>
  </si>
  <si>
    <t>Harry Styles</t>
  </si>
  <si>
    <t>Like Animals</t>
  </si>
  <si>
    <t>Djo</t>
  </si>
  <si>
    <t>Merry Go Round</t>
  </si>
  <si>
    <t>Dave</t>
  </si>
  <si>
    <t>they don't know 'bout us</t>
  </si>
  <si>
    <t>sombr</t>
  </si>
  <si>
    <t>Man I Need</t>
  </si>
  <si>
    <t>Coldplay</t>
  </si>
  <si>
    <t>🇬🇧GB</t>
  </si>
  <si>
    <t>DtMF</t>
  </si>
  <si>
    <t>Zara Larsson</t>
  </si>
  <si>
    <t>🇸🇪SE</t>
  </si>
  <si>
    <t>End of Beginning</t>
  </si>
  <si>
    <t>RAYE</t>
  </si>
  <si>
    <t>Risk It All</t>
  </si>
  <si>
    <t>The Goo Goo Dolls</t>
  </si>
  <si>
    <t>One More Night</t>
  </si>
  <si>
    <t>Ed Sheeran</t>
  </si>
  <si>
    <t>So Easy (To Fall In Love)</t>
  </si>
  <si>
    <t>Lady Gaga</t>
  </si>
  <si>
    <t>Please</t>
  </si>
  <si>
    <t>Billie Eilish</t>
  </si>
  <si>
    <t>Raindance (w/ Tems)</t>
  </si>
  <si>
    <t>The Police</t>
  </si>
  <si>
    <t>Stream_Change</t>
  </si>
  <si>
    <t>7Day_Streams</t>
  </si>
  <si>
    <t>Genre</t>
  </si>
  <si>
    <t>Position</t>
  </si>
  <si>
    <t>Days_on_Chart</t>
  </si>
  <si>
    <t>Viral_Score</t>
  </si>
  <si>
    <t>Trend</t>
  </si>
  <si>
    <t>Popularity</t>
  </si>
  <si>
    <t>Longevity</t>
  </si>
  <si>
    <t>K-Pop</t>
  </si>
  <si>
    <t>KR</t>
  </si>
  <si>
    <t>Falling</t>
  </si>
  <si>
    <t>Trending</t>
  </si>
  <si>
    <t>New</t>
  </si>
  <si>
    <t>Alternative Pop</t>
  </si>
  <si>
    <t>Florida</t>
  </si>
  <si>
    <t>Rising</t>
  </si>
  <si>
    <t>Evergreen</t>
  </si>
  <si>
    <t>Average</t>
  </si>
  <si>
    <t>Uk Garage</t>
  </si>
  <si>
    <t>England</t>
  </si>
  <si>
    <t>Stable Hit</t>
  </si>
  <si>
    <t>Pop</t>
  </si>
  <si>
    <t>US</t>
  </si>
  <si>
    <t>PR</t>
  </si>
  <si>
    <t>Synth-Pop</t>
  </si>
  <si>
    <t>Rap</t>
  </si>
  <si>
    <t>The Fate of Ophelia</t>
  </si>
  <si>
    <t>back to friends</t>
  </si>
  <si>
    <t>Indie Pop</t>
  </si>
  <si>
    <t>BAILE INoLVIDABLE</t>
  </si>
  <si>
    <t>Reggaeton</t>
  </si>
  <si>
    <t>Lush Life</t>
  </si>
  <si>
    <t>SE</t>
  </si>
  <si>
    <t>WHERE IS MY HUSBAND!</t>
  </si>
  <si>
    <t>GB</t>
  </si>
  <si>
    <t>NUEVAYoL</t>
  </si>
  <si>
    <t>American Girls</t>
  </si>
  <si>
    <t>Rock</t>
  </si>
  <si>
    <t>I Just Might</t>
  </si>
  <si>
    <t>Iris</t>
  </si>
  <si>
    <t>Alternative Rock</t>
  </si>
  <si>
    <t>Die With A Smile</t>
  </si>
  <si>
    <t>Manchild</t>
  </si>
  <si>
    <t>BIRDS OF A FEATHER</t>
  </si>
  <si>
    <t>Every Breath You Take</t>
  </si>
  <si>
    <t>New Wave</t>
  </si>
  <si>
    <t>Mr. Brightside</t>
  </si>
  <si>
    <t>The Killers</t>
  </si>
  <si>
    <t>Espresso</t>
  </si>
  <si>
    <t>Beautiful Things</t>
  </si>
  <si>
    <t>Benson Boone</t>
  </si>
  <si>
    <t>Sweater Weather</t>
  </si>
  <si>
    <t>The Neighbourhood</t>
  </si>
  <si>
    <t>One Dance</t>
  </si>
  <si>
    <t>Drake</t>
  </si>
  <si>
    <t>Hip Hop</t>
  </si>
  <si>
    <t>CA</t>
  </si>
  <si>
    <t>Creep</t>
  </si>
  <si>
    <t>Radiohead</t>
  </si>
  <si>
    <t>dopamina</t>
  </si>
  <si>
    <t>Peso Pluma</t>
  </si>
  <si>
    <t>Regional Mexicano</t>
  </si>
  <si>
    <t>MX</t>
  </si>
  <si>
    <t>Dreams</t>
  </si>
  <si>
    <t>Fleetwood Mac</t>
  </si>
  <si>
    <t>Yellow</t>
  </si>
  <si>
    <t>Locked out of Heaven</t>
  </si>
  <si>
    <t>Good Luck, Babe!</t>
  </si>
  <si>
    <t>Chappell Roan</t>
  </si>
  <si>
    <t>Viva La Vida</t>
  </si>
  <si>
    <t>As It Was</t>
  </si>
  <si>
    <t>Feel Good Inc</t>
  </si>
  <si>
    <t>Gorillaz</t>
  </si>
  <si>
    <t>Electronic</t>
  </si>
  <si>
    <t>In the End</t>
  </si>
  <si>
    <t>Linkin Park</t>
  </si>
  <si>
    <t>Nu Metal</t>
  </si>
  <si>
    <t>Blinding Lights</t>
  </si>
  <si>
    <t>The Weeknd</t>
  </si>
  <si>
    <t>R&amp;B</t>
  </si>
  <si>
    <t>Too Sweet</t>
  </si>
  <si>
    <t>Hozier</t>
  </si>
  <si>
    <t>IE</t>
  </si>
  <si>
    <t>Cruel Summer</t>
  </si>
  <si>
    <t>luther</t>
  </si>
  <si>
    <t>Kendrick Lamar</t>
  </si>
  <si>
    <t>Si Antes Te Hubiera Conocido</t>
  </si>
  <si>
    <t>KAROL G</t>
  </si>
  <si>
    <t>CO</t>
  </si>
  <si>
    <t>Marlboro Rojo</t>
  </si>
  <si>
    <t>Fuerza Regida</t>
  </si>
  <si>
    <t>When I Was Your Man</t>
  </si>
  <si>
    <t>Have You Ever Seen The Rain</t>
  </si>
  <si>
    <t>CCR</t>
  </si>
  <si>
    <t>Swamp Rock</t>
  </si>
  <si>
    <t>Billie Jean</t>
  </si>
  <si>
    <t>Michael Jackson</t>
  </si>
  <si>
    <t>Shape of You</t>
  </si>
  <si>
    <t>Africa</t>
  </si>
  <si>
    <t>TOTO</t>
  </si>
  <si>
    <t>Perfect</t>
  </si>
  <si>
    <t>Summertime Sadness</t>
  </si>
  <si>
    <t>Lana Del Rey</t>
  </si>
  <si>
    <t xml:space="preserve">  GENRE ANALYTICS</t>
  </si>
  <si>
    <t>Total Streams</t>
  </si>
  <si>
    <t>Avg Streams</t>
  </si>
  <si>
    <t>Stream Share %</t>
  </si>
  <si>
    <t>●●●●●●●●●●</t>
  </si>
  <si>
    <t>●●●●●●</t>
  </si>
  <si>
    <t>●●</t>
  </si>
  <si>
    <t>●●●</t>
  </si>
  <si>
    <t>●</t>
  </si>
  <si>
    <t xml:space="preserve">  TREND ANALYSIS : Rising vs Falling Tracks</t>
  </si>
  <si>
    <t xml:space="preserve">  ▲  TOP RISING TRACKS (by stream gain)</t>
  </si>
  <si>
    <t>Change</t>
  </si>
  <si>
    <t xml:space="preserve">  ▼  BIGGEST FALLERS (by stream drop)</t>
  </si>
  <si>
    <t xml:space="preserve"> COUNTRY ANALYSIS </t>
  </si>
  <si>
    <t>Flag</t>
  </si>
  <si>
    <t>Unique Artists</t>
  </si>
  <si>
    <t>🇰🇷</t>
  </si>
  <si>
    <t>🇺🇸</t>
  </si>
  <si>
    <t>🇬🇧</t>
  </si>
  <si>
    <t>🏴󠁧󠁢󠁥󠁮󠁧󠁿</t>
  </si>
  <si>
    <t>🇵🇷</t>
  </si>
  <si>
    <t>🇲🇽</t>
  </si>
  <si>
    <t>🇨🇦</t>
  </si>
  <si>
    <t>🇸🇪</t>
  </si>
  <si>
    <t>🇨🇴</t>
  </si>
  <si>
    <t>🇮🇪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</si>
</sst>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+#,##0;\-#,##0;0"/>
    <numFmt numFmtId="165" formatCode="0.00\%"/>
  </numFmts>
  <fonts count="42">
    <font>
      <sz val="11.0"/>
      <color theme="1"/>
      <name val="Calibri"/>
      <scheme val="minor"/>
    </font>
    <font>
      <sz val="11.0"/>
      <color theme="1"/>
      <name val="Calibri"/>
    </font>
    <font>
      <b/>
      <i/>
      <sz val="20.0"/>
      <color rgb="FF00D4FF"/>
      <name val="Arial"/>
    </font>
    <font/>
    <font>
      <sz val="8.0"/>
      <color rgb="FF435060"/>
      <name val="Arial"/>
    </font>
    <font>
      <sz val="8.0"/>
      <color rgb="FF00D4FF"/>
      <name val="Arial"/>
    </font>
    <font>
      <sz val="8.0"/>
      <color rgb="FF00B8A0"/>
      <name val="Arial"/>
    </font>
    <font>
      <sz val="8.0"/>
      <color rgb="FFF5A623"/>
      <name val="Arial"/>
    </font>
    <font>
      <sz val="8.0"/>
      <color rgb="FF5B9CF6"/>
      <name val="Arial"/>
    </font>
    <font>
      <sz val="8.0"/>
      <color rgb="FF1DB954"/>
      <name val="Arial"/>
    </font>
    <font>
      <sz val="8.0"/>
      <color rgb="FFFF4D6D"/>
      <name val="Arial"/>
    </font>
    <font>
      <b/>
      <sz val="18.0"/>
      <color rgb="FF00D4FF"/>
      <name val="Arial"/>
    </font>
    <font>
      <b/>
      <sz val="18.0"/>
      <color rgb="FF00B8A0"/>
      <name val="Arial"/>
    </font>
    <font>
      <b/>
      <sz val="18.0"/>
      <color rgb="FFF5A623"/>
      <name val="Arial"/>
    </font>
    <font>
      <b/>
      <sz val="18.0"/>
      <color rgb="FF5B9CF6"/>
      <name val="Arial"/>
    </font>
    <font>
      <b/>
      <sz val="18.0"/>
      <color rgb="FF1DB954"/>
      <name val="Arial"/>
    </font>
    <font>
      <b/>
      <sz val="18.0"/>
      <color rgb="FFFF4D6D"/>
      <name val="Arial"/>
    </font>
    <font>
      <i/>
      <sz val="7.0"/>
      <color rgb="FF435060"/>
      <name val="Arial"/>
    </font>
    <font>
      <b/>
      <sz val="11.0"/>
      <color rgb="FF00D4FF"/>
      <name val="Arial"/>
    </font>
    <font>
      <b/>
      <sz val="11.0"/>
      <color rgb="FFF5A623"/>
      <name val="Arial"/>
    </font>
    <font>
      <b/>
      <sz val="9.0"/>
      <color rgb="FF7A8FA0"/>
      <name val="Arial"/>
    </font>
    <font>
      <sz val="9.0"/>
      <color rgb="FF435060"/>
      <name val="Arial"/>
    </font>
    <font>
      <sz val="9.0"/>
      <color rgb="FFE4EDF5"/>
      <name val="Arial"/>
    </font>
    <font>
      <b/>
      <sz val="9.0"/>
      <color rgb="FF00D4FF"/>
      <name val="Arial"/>
    </font>
    <font>
      <sz val="9.0"/>
      <color rgb="FF00B8A0"/>
      <name val="Arial"/>
    </font>
    <font>
      <sz val="9.0"/>
      <color rgb="FF7A8FA0"/>
      <name val="Arial"/>
    </font>
    <font>
      <b/>
      <sz val="9.0"/>
      <color rgb="FF00B8A0"/>
      <name val="Arial"/>
    </font>
    <font>
      <b/>
      <sz val="9.0"/>
      <color rgb="FFF5A623"/>
      <name val="Arial"/>
    </font>
    <font>
      <b/>
      <sz val="9.0"/>
      <color rgb="FF5B9CF6"/>
      <name val="Arial"/>
    </font>
    <font>
      <b/>
      <sz val="9.0"/>
      <color rgb="FF1DB954"/>
      <name val="Arial"/>
    </font>
    <font>
      <b/>
      <sz val="9.0"/>
      <color rgb="FFFF4D6D"/>
      <name val="Arial"/>
    </font>
    <font>
      <sz val="9.0"/>
      <color rgb="FF00D4FF"/>
      <name val="Arial"/>
    </font>
    <font>
      <sz val="9.0"/>
      <color rgb="FFFF4D6D"/>
      <name val="Arial"/>
    </font>
    <font>
      <sz val="9.0"/>
      <color rgb="FFF5A623"/>
      <name val="Arial"/>
    </font>
    <font>
      <sz val="9.0"/>
      <color rgb="FF1DB954"/>
      <name val="Arial"/>
    </font>
    <font>
      <b/>
      <sz val="14.0"/>
      <color rgb="FFF5A623"/>
      <name val="Arial"/>
    </font>
    <font>
      <b/>
      <sz val="9.0"/>
      <color rgb="FFD9D9D9"/>
      <name val="Arial"/>
    </font>
    <font>
      <b/>
      <sz val="14.0"/>
      <color rgb="FF1DB954"/>
      <name val="Arial"/>
    </font>
    <font>
      <b/>
      <sz val="10.0"/>
      <color rgb="FF1DB954"/>
      <name val="Arial"/>
    </font>
    <font>
      <b/>
      <sz val="10.0"/>
      <color rgb="FFFF4D6D"/>
      <name val="Arial"/>
    </font>
    <font>
      <b/>
      <sz val="14.0"/>
      <color rgb="FF5B9CF6"/>
      <name val="Aria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D1117"/>
        <bgColor rgb="FF0D1117"/>
      </patternFill>
    </fill>
    <fill>
      <patternFill patternType="solid">
        <fgColor rgb="FF060A0E"/>
        <bgColor rgb="FF060A0E"/>
      </patternFill>
    </fill>
    <fill>
      <patternFill patternType="solid">
        <fgColor rgb="FF131920"/>
        <bgColor rgb="FF131920"/>
      </patternFill>
    </fill>
    <fill>
      <patternFill patternType="solid">
        <fgColor rgb="FF1A2230"/>
        <bgColor rgb="FF1A2230"/>
      </patternFill>
    </fill>
  </fills>
  <borders count="1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28394A"/>
      </left>
      <right style="thin">
        <color rgb="FF28394A"/>
      </right>
      <top style="thin">
        <color rgb="FF28394A"/>
      </top>
      <bottom style="thin">
        <color rgb="FF28394A"/>
      </bottom>
    </border>
    <border>
      <left/>
      <right/>
      <top/>
      <bottom style="thin">
        <color rgb="FF1E2A38"/>
      </bottom>
    </border>
    <border>
      <left/>
      <right/>
      <top/>
      <bottom style="thin">
        <color rgb="FF00D4FF"/>
      </bottom>
    </border>
    <border>
      <left/>
      <right/>
      <top/>
      <bottom style="thin">
        <color rgb="FFF5A623"/>
      </bottom>
    </border>
    <border>
      <left/>
      <right/>
      <top/>
      <bottom style="thin">
        <color rgb="FF1DB954"/>
      </bottom>
    </border>
    <border>
      <left/>
      <right/>
      <top/>
      <bottom style="thin">
        <color rgb="FFFF4D6D"/>
      </bottom>
    </border>
    <border>
      <left/>
      <right/>
      <top/>
      <bottom style="thin">
        <color rgb="FF5B9CF6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3" fontId="2" numFmtId="0" xfId="0" applyAlignment="1" applyBorder="1" applyFill="1" applyFont="1">
      <alignment horizontal="left" readingOrder="0"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ont="1">
      <alignment horizontal="left" shrinkToFit="0" vertical="center" wrapText="0"/>
    </xf>
    <xf borderId="5" fillId="4" fontId="5" numFmtId="0" xfId="0" applyAlignment="1" applyBorder="1" applyFill="1" applyFont="1">
      <alignment horizontal="center" shrinkToFit="0" vertical="center" wrapText="0"/>
    </xf>
    <xf borderId="5" fillId="4" fontId="6" numFmtId="0" xfId="0" applyAlignment="1" applyBorder="1" applyFont="1">
      <alignment horizontal="center" shrinkToFit="0" vertical="center" wrapText="0"/>
    </xf>
    <xf borderId="5" fillId="4" fontId="7" numFmtId="0" xfId="0" applyAlignment="1" applyBorder="1" applyFont="1">
      <alignment horizontal="center" shrinkToFit="0" vertical="center" wrapText="0"/>
    </xf>
    <xf borderId="5" fillId="4" fontId="8" numFmtId="0" xfId="0" applyAlignment="1" applyBorder="1" applyFont="1">
      <alignment horizontal="center" shrinkToFit="0" vertical="center" wrapText="0"/>
    </xf>
    <xf borderId="5" fillId="4" fontId="9" numFmtId="0" xfId="0" applyAlignment="1" applyBorder="1" applyFont="1">
      <alignment horizontal="center" shrinkToFit="0" vertical="center" wrapText="0"/>
    </xf>
    <xf borderId="5" fillId="4" fontId="10" numFmtId="0" xfId="0" applyAlignment="1" applyBorder="1" applyFont="1">
      <alignment horizontal="center" shrinkToFit="0" vertical="center" wrapText="0"/>
    </xf>
    <xf borderId="5" fillId="4" fontId="11" numFmtId="3" xfId="0" applyAlignment="1" applyBorder="1" applyFont="1" applyNumberFormat="1">
      <alignment horizontal="center" shrinkToFit="0" vertical="center" wrapText="0"/>
    </xf>
    <xf borderId="5" fillId="4" fontId="12" numFmtId="3" xfId="0" applyAlignment="1" applyBorder="1" applyFont="1" applyNumberFormat="1">
      <alignment horizontal="center" shrinkToFit="0" vertical="center" wrapText="0"/>
    </xf>
    <xf borderId="5" fillId="4" fontId="13" numFmtId="0" xfId="0" applyAlignment="1" applyBorder="1" applyFont="1">
      <alignment horizontal="center" shrinkToFit="0" vertical="center" wrapText="0"/>
    </xf>
    <xf borderId="5" fillId="4" fontId="14" numFmtId="0" xfId="0" applyAlignment="1" applyBorder="1" applyFont="1">
      <alignment horizontal="center" shrinkToFit="0" vertical="center" wrapText="0"/>
    </xf>
    <xf borderId="5" fillId="4" fontId="15" numFmtId="0" xfId="0" applyAlignment="1" applyBorder="1" applyFont="1">
      <alignment horizontal="center" shrinkToFit="0" vertical="center" wrapText="0"/>
    </xf>
    <xf borderId="5" fillId="4" fontId="16" numFmtId="3" xfId="0" applyAlignment="1" applyBorder="1" applyFont="1" applyNumberFormat="1">
      <alignment horizontal="center" shrinkToFit="0" vertical="center" wrapText="0"/>
    </xf>
    <xf borderId="5" fillId="4" fontId="11" numFmtId="0" xfId="0" applyAlignment="1" applyBorder="1" applyFont="1">
      <alignment horizontal="center" shrinkToFit="0" vertical="center" wrapText="0"/>
    </xf>
    <xf borderId="5" fillId="4" fontId="12" numFmtId="0" xfId="0" applyAlignment="1" applyBorder="1" applyFont="1">
      <alignment horizontal="center" shrinkToFit="0" vertical="center" wrapText="0"/>
    </xf>
    <xf borderId="5" fillId="4" fontId="17" numFmtId="0" xfId="0" applyAlignment="1" applyBorder="1" applyFont="1">
      <alignment horizontal="center" shrinkToFit="0" vertical="center" wrapText="0"/>
    </xf>
    <xf borderId="2" fillId="2" fontId="18" numFmtId="0" xfId="0" applyAlignment="1" applyBorder="1" applyFont="1">
      <alignment horizontal="center" shrinkToFit="0" vertical="bottom" wrapText="0"/>
    </xf>
    <xf borderId="2" fillId="2" fontId="19" numFmtId="0" xfId="0" applyAlignment="1" applyBorder="1" applyFont="1">
      <alignment horizontal="center" shrinkToFit="0" vertical="bottom" wrapText="0"/>
    </xf>
    <xf borderId="6" fillId="5" fontId="20" numFmtId="0" xfId="0" applyAlignment="1" applyBorder="1" applyFill="1" applyFont="1">
      <alignment horizontal="center" shrinkToFit="0" vertical="center" wrapText="0"/>
    </xf>
    <xf borderId="6" fillId="2" fontId="21" numFmtId="0" xfId="0" applyAlignment="1" applyBorder="1" applyFont="1">
      <alignment horizontal="center" shrinkToFit="0" vertical="center" wrapText="0"/>
    </xf>
    <xf borderId="6" fillId="2" fontId="22" numFmtId="0" xfId="0" applyAlignment="1" applyBorder="1" applyFont="1">
      <alignment horizontal="center" shrinkToFit="0" vertical="center" wrapText="0"/>
    </xf>
    <xf borderId="6" fillId="2" fontId="23" numFmtId="3" xfId="0" applyAlignment="1" applyBorder="1" applyFont="1" applyNumberFormat="1">
      <alignment horizontal="center" shrinkToFit="0" vertical="center" wrapText="0"/>
    </xf>
    <xf borderId="6" fillId="2" fontId="24" numFmtId="3" xfId="0" applyAlignment="1" applyBorder="1" applyFont="1" applyNumberFormat="1">
      <alignment horizontal="center" shrinkToFit="0" vertical="center" wrapText="0"/>
    </xf>
    <xf borderId="6" fillId="2" fontId="23" numFmtId="0" xfId="0" applyAlignment="1" applyBorder="1" applyFont="1">
      <alignment horizontal="center" shrinkToFit="0" vertical="center" wrapText="0"/>
    </xf>
    <xf borderId="6" fillId="2" fontId="25" numFmtId="0" xfId="0" applyAlignment="1" applyBorder="1" applyFont="1">
      <alignment horizontal="center" shrinkToFit="0" vertical="center" wrapText="0"/>
    </xf>
    <xf borderId="6" fillId="4" fontId="21" numFmtId="0" xfId="0" applyAlignment="1" applyBorder="1" applyFont="1">
      <alignment horizontal="center" shrinkToFit="0" vertical="center" wrapText="0"/>
    </xf>
    <xf borderId="6" fillId="4" fontId="22" numFmtId="0" xfId="0" applyAlignment="1" applyBorder="1" applyFont="1">
      <alignment horizontal="center" shrinkToFit="0" vertical="center" wrapText="0"/>
    </xf>
    <xf borderId="6" fillId="4" fontId="23" numFmtId="3" xfId="0" applyAlignment="1" applyBorder="1" applyFont="1" applyNumberFormat="1">
      <alignment horizontal="center" shrinkToFit="0" vertical="center" wrapText="0"/>
    </xf>
    <xf borderId="6" fillId="4" fontId="24" numFmtId="3" xfId="0" applyAlignment="1" applyBorder="1" applyFont="1" applyNumberFormat="1">
      <alignment horizontal="center" shrinkToFit="0" vertical="center" wrapText="0"/>
    </xf>
    <xf borderId="6" fillId="4" fontId="26" numFmtId="0" xfId="0" applyAlignment="1" applyBorder="1" applyFont="1">
      <alignment horizontal="center" shrinkToFit="0" vertical="center" wrapText="0"/>
    </xf>
    <xf borderId="6" fillId="4" fontId="25" numFmtId="0" xfId="0" applyAlignment="1" applyBorder="1" applyFont="1">
      <alignment horizontal="center" shrinkToFit="0" vertical="center" wrapText="0"/>
    </xf>
    <xf borderId="6" fillId="2" fontId="27" numFmtId="0" xfId="0" applyAlignment="1" applyBorder="1" applyFont="1">
      <alignment horizontal="center" shrinkToFit="0" vertical="center" wrapText="0"/>
    </xf>
    <xf borderId="6" fillId="4" fontId="28" numFmtId="0" xfId="0" applyAlignment="1" applyBorder="1" applyFont="1">
      <alignment horizontal="center" shrinkToFit="0" vertical="center" wrapText="0"/>
    </xf>
    <xf borderId="6" fillId="2" fontId="29" numFmtId="0" xfId="0" applyAlignment="1" applyBorder="1" applyFont="1">
      <alignment horizontal="center" shrinkToFit="0" vertical="center" wrapText="0"/>
    </xf>
    <xf borderId="6" fillId="4" fontId="30" numFmtId="0" xfId="0" applyAlignment="1" applyBorder="1" applyFont="1">
      <alignment horizontal="center" shrinkToFit="0" vertical="center" wrapText="0"/>
    </xf>
    <xf borderId="7" fillId="5" fontId="23" numFmtId="0" xfId="0" applyAlignment="1" applyBorder="1" applyFont="1">
      <alignment horizontal="center" shrinkToFit="0" vertical="center" wrapText="0"/>
    </xf>
    <xf borderId="6" fillId="2" fontId="22" numFmtId="0" xfId="0" applyAlignment="1" applyBorder="1" applyFont="1">
      <alignment horizontal="left" shrinkToFit="0" vertical="center" wrapText="0"/>
    </xf>
    <xf borderId="6" fillId="2" fontId="31" numFmtId="3" xfId="0" applyAlignment="1" applyBorder="1" applyFont="1" applyNumberFormat="1">
      <alignment horizontal="left" shrinkToFit="0" vertical="center" wrapText="0"/>
    </xf>
    <xf borderId="6" fillId="2" fontId="32" numFmtId="164" xfId="0" applyAlignment="1" applyBorder="1" applyFont="1" applyNumberFormat="1">
      <alignment horizontal="left" shrinkToFit="0" vertical="center" wrapText="0"/>
    </xf>
    <xf borderId="6" fillId="2" fontId="30" numFmtId="0" xfId="0" applyAlignment="1" applyBorder="1" applyFont="1">
      <alignment horizontal="left" shrinkToFit="0" vertical="center" wrapText="0"/>
    </xf>
    <xf borderId="6" fillId="2" fontId="33" numFmtId="0" xfId="0" applyAlignment="1" applyBorder="1" applyFont="1">
      <alignment horizontal="left" shrinkToFit="0" vertical="center" wrapText="0"/>
    </xf>
    <xf borderId="6" fillId="4" fontId="22" numFmtId="0" xfId="0" applyAlignment="1" applyBorder="1" applyFont="1">
      <alignment horizontal="left" shrinkToFit="0" vertical="center" wrapText="0"/>
    </xf>
    <xf borderId="6" fillId="4" fontId="31" numFmtId="3" xfId="0" applyAlignment="1" applyBorder="1" applyFont="1" applyNumberFormat="1">
      <alignment horizontal="left" shrinkToFit="0" vertical="center" wrapText="0"/>
    </xf>
    <xf borderId="6" fillId="4" fontId="32" numFmtId="164" xfId="0" applyAlignment="1" applyBorder="1" applyFont="1" applyNumberFormat="1">
      <alignment horizontal="left" shrinkToFit="0" vertical="center" wrapText="0"/>
    </xf>
    <xf borderId="6" fillId="4" fontId="30" numFmtId="0" xfId="0" applyAlignment="1" applyBorder="1" applyFont="1">
      <alignment horizontal="left" shrinkToFit="0" vertical="center" wrapText="0"/>
    </xf>
    <xf borderId="6" fillId="4" fontId="33" numFmtId="0" xfId="0" applyAlignment="1" applyBorder="1" applyFont="1">
      <alignment horizontal="left" shrinkToFit="0" vertical="center" wrapText="0"/>
    </xf>
    <xf borderId="6" fillId="2" fontId="34" numFmtId="164" xfId="0" applyAlignment="1" applyBorder="1" applyFont="1" applyNumberFormat="1">
      <alignment horizontal="left" shrinkToFit="0" vertical="center" wrapText="0"/>
    </xf>
    <xf borderId="6" fillId="2" fontId="29" numFmtId="0" xfId="0" applyAlignment="1" applyBorder="1" applyFont="1">
      <alignment horizontal="left" shrinkToFit="0" vertical="center" wrapText="0"/>
    </xf>
    <xf borderId="6" fillId="2" fontId="31" numFmtId="0" xfId="0" applyAlignment="1" applyBorder="1" applyFont="1">
      <alignment horizontal="left" shrinkToFit="0" vertical="center" wrapText="0"/>
    </xf>
    <xf borderId="6" fillId="4" fontId="25" numFmtId="0" xfId="0" applyAlignment="1" applyBorder="1" applyFont="1">
      <alignment horizontal="left" shrinkToFit="0" vertical="center" wrapText="0"/>
    </xf>
    <xf borderId="6" fillId="2" fontId="25" numFmtId="0" xfId="0" applyAlignment="1" applyBorder="1" applyFont="1">
      <alignment horizontal="left" shrinkToFit="0" vertical="center" wrapText="0"/>
    </xf>
    <xf borderId="6" fillId="2" fontId="24" numFmtId="0" xfId="0" applyAlignment="1" applyBorder="1" applyFont="1">
      <alignment horizontal="left" shrinkToFit="0" vertical="center" wrapText="0"/>
    </xf>
    <xf borderId="6" fillId="4" fontId="31" numFmtId="0" xfId="0" applyAlignment="1" applyBorder="1" applyFont="1">
      <alignment horizontal="left" shrinkToFit="0" vertical="center" wrapText="0"/>
    </xf>
    <xf borderId="6" fillId="4" fontId="34" numFmtId="164" xfId="0" applyAlignment="1" applyBorder="1" applyFont="1" applyNumberFormat="1">
      <alignment horizontal="left" shrinkToFit="0" vertical="center" wrapText="0"/>
    </xf>
    <xf borderId="6" fillId="4" fontId="29" numFmtId="0" xfId="0" applyAlignment="1" applyBorder="1" applyFont="1">
      <alignment horizontal="left" shrinkToFit="0" vertical="center" wrapText="0"/>
    </xf>
    <xf borderId="6" fillId="4" fontId="24" numFmtId="0" xfId="0" applyAlignment="1" applyBorder="1" applyFont="1">
      <alignment horizontal="left" shrinkToFit="0" vertical="center" wrapText="0"/>
    </xf>
    <xf borderId="2" fillId="3" fontId="35" numFmtId="0" xfId="0" applyAlignment="1" applyBorder="1" applyFont="1">
      <alignment horizontal="left" readingOrder="0" shrinkToFit="0" vertical="center" wrapText="0"/>
    </xf>
    <xf borderId="8" fillId="5" fontId="20" numFmtId="0" xfId="0" applyAlignment="1" applyBorder="1" applyFont="1">
      <alignment horizontal="center" shrinkToFit="0" vertical="center" wrapText="0"/>
    </xf>
    <xf borderId="6" fillId="4" fontId="28" numFmtId="0" xfId="0" applyAlignment="1" applyBorder="1" applyFont="1">
      <alignment shrinkToFit="0" vertical="bottom" wrapText="0"/>
    </xf>
    <xf borderId="6" fillId="4" fontId="36" numFmtId="3" xfId="0" applyAlignment="1" applyBorder="1" applyFont="1" applyNumberFormat="1">
      <alignment horizontal="right" shrinkToFit="0" vertical="center" wrapText="0"/>
    </xf>
    <xf borderId="6" fillId="4" fontId="31" numFmtId="3" xfId="0" applyAlignment="1" applyBorder="1" applyFont="1" applyNumberFormat="1">
      <alignment horizontal="right" shrinkToFit="0" vertical="center" wrapText="0"/>
    </xf>
    <xf borderId="6" fillId="4" fontId="26" numFmtId="165" xfId="0" applyAlignment="1" applyBorder="1" applyFont="1" applyNumberFormat="1">
      <alignment horizontal="right" shrinkToFit="0" vertical="center" wrapText="0"/>
    </xf>
    <xf borderId="6" fillId="4" fontId="7" numFmtId="0" xfId="0" applyAlignment="1" applyBorder="1" applyFont="1">
      <alignment horizontal="left" shrinkToFit="0" vertical="center" wrapText="0"/>
    </xf>
    <xf borderId="6" fillId="2" fontId="29" numFmtId="0" xfId="0" applyAlignment="1" applyBorder="1" applyFont="1">
      <alignment shrinkToFit="0" vertical="bottom" wrapText="0"/>
    </xf>
    <xf borderId="6" fillId="2" fontId="36" numFmtId="3" xfId="0" applyAlignment="1" applyBorder="1" applyFont="1" applyNumberFormat="1">
      <alignment horizontal="right" shrinkToFit="0" vertical="center" wrapText="0"/>
    </xf>
    <xf borderId="6" fillId="2" fontId="31" numFmtId="3" xfId="0" applyAlignment="1" applyBorder="1" applyFont="1" applyNumberFormat="1">
      <alignment horizontal="right" shrinkToFit="0" vertical="center" wrapText="0"/>
    </xf>
    <xf borderId="6" fillId="2" fontId="26" numFmtId="165" xfId="0" applyAlignment="1" applyBorder="1" applyFont="1" applyNumberFormat="1">
      <alignment horizontal="right" shrinkToFit="0" vertical="center" wrapText="0"/>
    </xf>
    <xf borderId="6" fillId="2" fontId="7" numFmtId="0" xfId="0" applyAlignment="1" applyBorder="1" applyFont="1">
      <alignment horizontal="left" shrinkToFit="0" vertical="center" wrapText="0"/>
    </xf>
    <xf borderId="6" fillId="4" fontId="30" numFmtId="0" xfId="0" applyAlignment="1" applyBorder="1" applyFont="1">
      <alignment shrinkToFit="0" vertical="bottom" wrapText="0"/>
    </xf>
    <xf borderId="6" fillId="2" fontId="23" numFmtId="0" xfId="0" applyAlignment="1" applyBorder="1" applyFont="1">
      <alignment shrinkToFit="0" vertical="bottom" wrapText="0"/>
    </xf>
    <xf borderId="6" fillId="4" fontId="26" numFmtId="0" xfId="0" applyAlignment="1" applyBorder="1" applyFont="1">
      <alignment shrinkToFit="0" vertical="bottom" wrapText="0"/>
    </xf>
    <xf borderId="6" fillId="2" fontId="27" numFmtId="0" xfId="0" applyAlignment="1" applyBorder="1" applyFont="1">
      <alignment shrinkToFit="0" vertical="bottom" wrapText="0"/>
    </xf>
    <xf borderId="2" fillId="3" fontId="37" numFmtId="0" xfId="0" applyAlignment="1" applyBorder="1" applyFont="1">
      <alignment horizontal="left" readingOrder="0" shrinkToFit="0" vertical="center" wrapText="0"/>
    </xf>
    <xf borderId="2" fillId="4" fontId="38" numFmtId="0" xfId="0" applyAlignment="1" applyBorder="1" applyFont="1">
      <alignment shrinkToFit="0" vertical="bottom" wrapText="0"/>
    </xf>
    <xf borderId="9" fillId="5" fontId="20" numFmtId="0" xfId="0" applyAlignment="1" applyBorder="1" applyFont="1">
      <alignment horizontal="center" shrinkToFit="0" vertical="center" wrapText="0"/>
    </xf>
    <xf borderId="6" fillId="2" fontId="22" numFmtId="0" xfId="0" applyAlignment="1" applyBorder="1" applyFont="1">
      <alignment shrinkToFit="0" vertical="bottom" wrapText="0"/>
    </xf>
    <xf borderId="6" fillId="2" fontId="25" numFmtId="0" xfId="0" applyAlignment="1" applyBorder="1" applyFont="1">
      <alignment shrinkToFit="0" vertical="bottom" wrapText="0"/>
    </xf>
    <xf borderId="6" fillId="2" fontId="34" numFmtId="164" xfId="0" applyAlignment="1" applyBorder="1" applyFont="1" applyNumberFormat="1">
      <alignment horizontal="right" shrinkToFit="0" vertical="center" wrapText="0"/>
    </xf>
    <xf borderId="6" fillId="2" fontId="29" numFmtId="164" xfId="0" applyAlignment="1" applyBorder="1" applyFont="1" applyNumberFormat="1">
      <alignment horizontal="right" shrinkToFit="0" vertical="center" wrapText="0"/>
    </xf>
    <xf borderId="6" fillId="2" fontId="24" numFmtId="164" xfId="0" applyAlignment="1" applyBorder="1" applyFont="1" applyNumberFormat="1">
      <alignment horizontal="right" shrinkToFit="0" vertical="center" wrapText="0"/>
    </xf>
    <xf borderId="6" fillId="2" fontId="7" numFmtId="0" xfId="0" applyAlignment="1" applyBorder="1" applyFont="1">
      <alignment horizontal="center" shrinkToFit="0" vertical="center" wrapText="0"/>
    </xf>
    <xf borderId="6" fillId="4" fontId="22" numFmtId="0" xfId="0" applyAlignment="1" applyBorder="1" applyFont="1">
      <alignment shrinkToFit="0" vertical="bottom" wrapText="0"/>
    </xf>
    <xf borderId="6" fillId="4" fontId="25" numFmtId="0" xfId="0" applyAlignment="1" applyBorder="1" applyFont="1">
      <alignment shrinkToFit="0" vertical="bottom" wrapText="0"/>
    </xf>
    <xf borderId="6" fillId="4" fontId="34" numFmtId="164" xfId="0" applyAlignment="1" applyBorder="1" applyFont="1" applyNumberFormat="1">
      <alignment horizontal="right" shrinkToFit="0" vertical="center" wrapText="0"/>
    </xf>
    <xf borderId="6" fillId="4" fontId="29" numFmtId="164" xfId="0" applyAlignment="1" applyBorder="1" applyFont="1" applyNumberFormat="1">
      <alignment horizontal="right" shrinkToFit="0" vertical="center" wrapText="0"/>
    </xf>
    <xf borderId="6" fillId="4" fontId="24" numFmtId="164" xfId="0" applyAlignment="1" applyBorder="1" applyFont="1" applyNumberFormat="1">
      <alignment horizontal="right" shrinkToFit="0" vertical="center" wrapText="0"/>
    </xf>
    <xf borderId="6" fillId="4" fontId="7" numFmtId="0" xfId="0" applyAlignment="1" applyBorder="1" applyFont="1">
      <alignment horizontal="center" shrinkToFit="0" vertical="center" wrapText="0"/>
    </xf>
    <xf borderId="2" fillId="4" fontId="39" numFmtId="0" xfId="0" applyAlignment="1" applyBorder="1" applyFont="1">
      <alignment shrinkToFit="0" vertical="bottom" wrapText="0"/>
    </xf>
    <xf borderId="10" fillId="5" fontId="20" numFmtId="0" xfId="0" applyAlignment="1" applyBorder="1" applyFont="1">
      <alignment horizontal="center" shrinkToFit="0" vertical="center" wrapText="0"/>
    </xf>
    <xf borderId="6" fillId="4" fontId="31" numFmtId="164" xfId="0" applyAlignment="1" applyBorder="1" applyFont="1" applyNumberFormat="1">
      <alignment horizontal="right" shrinkToFit="0" vertical="center" wrapText="0"/>
    </xf>
    <xf borderId="6" fillId="4" fontId="30" numFmtId="164" xfId="0" applyAlignment="1" applyBorder="1" applyFont="1" applyNumberFormat="1">
      <alignment horizontal="right" shrinkToFit="0" vertical="center" wrapText="0"/>
    </xf>
    <xf borderId="6" fillId="2" fontId="31" numFmtId="164" xfId="0" applyAlignment="1" applyBorder="1" applyFont="1" applyNumberFormat="1">
      <alignment horizontal="right" shrinkToFit="0" vertical="center" wrapText="0"/>
    </xf>
    <xf borderId="6" fillId="2" fontId="30" numFmtId="164" xfId="0" applyAlignment="1" applyBorder="1" applyFont="1" applyNumberFormat="1">
      <alignment horizontal="right" shrinkToFit="0" vertical="center" wrapText="0"/>
    </xf>
    <xf borderId="2" fillId="3" fontId="40" numFmtId="0" xfId="0" applyAlignment="1" applyBorder="1" applyFont="1">
      <alignment horizontal="left" readingOrder="0" shrinkToFit="0" vertical="center" wrapText="0"/>
    </xf>
    <xf borderId="11" fillId="5" fontId="20" numFmtId="0" xfId="0" applyAlignment="1" applyBorder="1" applyFont="1">
      <alignment horizontal="center" shrinkToFit="0" vertical="center" wrapText="0"/>
    </xf>
    <xf borderId="6" fillId="4" fontId="41" numFmtId="0" xfId="0" applyAlignment="1" applyBorder="1" applyFont="1">
      <alignment horizontal="center" shrinkToFit="0" vertical="center" wrapText="0"/>
    </xf>
    <xf borderId="6" fillId="4" fontId="33" numFmtId="0" xfId="0" applyAlignment="1" applyBorder="1" applyFont="1">
      <alignment horizontal="center" shrinkToFit="0" vertical="center" wrapText="0"/>
    </xf>
    <xf borderId="6" fillId="2" fontId="41" numFmtId="0" xfId="0" applyAlignment="1" applyBorder="1" applyFont="1">
      <alignment horizontal="center" shrinkToFit="0" vertical="center" wrapText="0"/>
    </xf>
    <xf borderId="6" fillId="2" fontId="28" numFmtId="0" xfId="0" applyAlignment="1" applyBorder="1" applyFont="1">
      <alignment shrinkToFit="0" vertical="bottom" wrapText="0"/>
    </xf>
    <xf borderId="6" fillId="2" fontId="3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D4FF"/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11" width="14.0"/>
    <col customWidth="1" min="12" max="12" width="1.57"/>
    <col customWidth="1" min="13" max="30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49.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3.5" customHeight="1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.75" customHeight="1">
      <c r="A4" s="1"/>
      <c r="B4" s="6" t="s">
        <v>2</v>
      </c>
      <c r="C4" s="7" t="s">
        <v>3</v>
      </c>
      <c r="D4" s="8" t="s">
        <v>4</v>
      </c>
      <c r="E4" s="9" t="s">
        <v>5</v>
      </c>
      <c r="F4" s="10" t="s">
        <v>6</v>
      </c>
      <c r="G4" s="8" t="s">
        <v>7</v>
      </c>
      <c r="H4" s="11" t="s">
        <v>8</v>
      </c>
      <c r="I4" s="6" t="s">
        <v>9</v>
      </c>
      <c r="J4" s="7" t="s">
        <v>10</v>
      </c>
      <c r="K4" s="8" t="s">
        <v>11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79.5" customHeight="1">
      <c r="A5" s="1"/>
      <c r="B5" s="12">
        <f>Raw_Data!C2</f>
        <v>11273830</v>
      </c>
      <c r="C5" s="13">
        <f>AVERAGE(Raw_Data!C2:C61)</f>
        <v>3062887.633</v>
      </c>
      <c r="D5" s="14">
        <f>COUNTIF(Raw_Data!K2:K61,"Rising")</f>
        <v>20</v>
      </c>
      <c r="E5" s="15">
        <f t="array" ref="E5">SUMPRODUCT(1/COUNTIF(Raw_Data!B2:B61,Raw_Data!B2:B61))</f>
        <v>38</v>
      </c>
      <c r="F5" s="16">
        <f>AVERAGE(Raw_Data!I2:I61)</f>
        <v>674.7333333</v>
      </c>
      <c r="G5" s="14">
        <f>SUM(Raw_Data!E2:E61)</f>
        <v>973457847</v>
      </c>
      <c r="H5" s="17">
        <f>MAX(Raw_Data!C2:C61)</f>
        <v>11273830</v>
      </c>
      <c r="I5" s="18">
        <f>COUNTIF(Raw_Data!L2:L61,"Trending")</f>
        <v>5</v>
      </c>
      <c r="J5" s="19">
        <f>COUNTIF(Raw_Data!M2:M61,"Evergreen")</f>
        <v>43</v>
      </c>
      <c r="K5" s="14">
        <f>COUNTIF(Raw_Data!M2:M61,"New")</f>
        <v>14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3.5" customHeight="1">
      <c r="A6" s="1"/>
      <c r="B6" s="20" t="s">
        <v>12</v>
      </c>
      <c r="C6" s="20" t="s">
        <v>13</v>
      </c>
      <c r="D6" s="20" t="s">
        <v>14</v>
      </c>
      <c r="E6" s="20" t="s">
        <v>15</v>
      </c>
      <c r="F6" s="20" t="s">
        <v>16</v>
      </c>
      <c r="G6" s="20" t="s">
        <v>17</v>
      </c>
      <c r="H6" s="20" t="s">
        <v>18</v>
      </c>
      <c r="I6" s="20" t="s">
        <v>19</v>
      </c>
      <c r="J6" s="20" t="s">
        <v>20</v>
      </c>
      <c r="K6" s="20" t="s">
        <v>21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7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9.5" customHeight="1">
      <c r="A8" s="1"/>
      <c r="B8" s="21" t="s">
        <v>22</v>
      </c>
      <c r="C8" s="3"/>
      <c r="D8" s="3"/>
      <c r="E8" s="3"/>
      <c r="F8" s="4"/>
      <c r="G8" s="22" t="s">
        <v>23</v>
      </c>
      <c r="H8" s="3"/>
      <c r="I8" s="3"/>
      <c r="J8" s="3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8.0" customHeight="1">
      <c r="A9" s="1"/>
      <c r="B9" s="23" t="s">
        <v>24</v>
      </c>
      <c r="C9" s="23" t="s">
        <v>25</v>
      </c>
      <c r="D9" s="23" t="s">
        <v>26</v>
      </c>
      <c r="E9" s="23" t="s">
        <v>27</v>
      </c>
      <c r="F9" s="23" t="s">
        <v>28</v>
      </c>
      <c r="G9" s="23" t="s">
        <v>24</v>
      </c>
      <c r="H9" s="23" t="s">
        <v>26</v>
      </c>
      <c r="I9" s="23" t="s">
        <v>29</v>
      </c>
      <c r="J9" s="23" t="s">
        <v>30</v>
      </c>
      <c r="K9" s="23" t="s">
        <v>31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6.5" customHeight="1">
      <c r="A10" s="1"/>
      <c r="B10" s="24">
        <v>1.0</v>
      </c>
      <c r="C10" s="25" t="s">
        <v>32</v>
      </c>
      <c r="D10" s="25" t="s">
        <v>33</v>
      </c>
      <c r="E10" s="26">
        <v>1.127383E7</v>
      </c>
      <c r="F10" s="27">
        <v>2.5918182E7</v>
      </c>
      <c r="G10" s="24">
        <v>1.0</v>
      </c>
      <c r="H10" s="28" t="s">
        <v>33</v>
      </c>
      <c r="I10" s="29" t="s">
        <v>34</v>
      </c>
      <c r="J10" s="29">
        <v>12.0</v>
      </c>
      <c r="K10" s="26">
        <v>6.4025108E7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16.5" customHeight="1">
      <c r="A11" s="1"/>
      <c r="B11" s="30">
        <v>2.0</v>
      </c>
      <c r="C11" s="31" t="s">
        <v>35</v>
      </c>
      <c r="D11" s="31" t="s">
        <v>33</v>
      </c>
      <c r="E11" s="32">
        <v>6815694.0</v>
      </c>
      <c r="F11" s="33">
        <v>1.8000729E7</v>
      </c>
      <c r="G11" s="30">
        <v>2.0</v>
      </c>
      <c r="H11" s="34" t="s">
        <v>36</v>
      </c>
      <c r="I11" s="35" t="s">
        <v>37</v>
      </c>
      <c r="J11" s="35">
        <v>3.0</v>
      </c>
      <c r="K11" s="32">
        <v>1.0840907E7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6.5" customHeight="1">
      <c r="A12" s="1"/>
      <c r="B12" s="24">
        <v>3.0</v>
      </c>
      <c r="C12" s="25" t="s">
        <v>38</v>
      </c>
      <c r="D12" s="25" t="s">
        <v>39</v>
      </c>
      <c r="E12" s="26">
        <v>5733862.0</v>
      </c>
      <c r="F12" s="27">
        <v>3.6599831E7</v>
      </c>
      <c r="G12" s="24">
        <v>3.0</v>
      </c>
      <c r="H12" s="36" t="s">
        <v>40</v>
      </c>
      <c r="I12" s="29" t="s">
        <v>41</v>
      </c>
      <c r="J12" s="29">
        <v>4.0</v>
      </c>
      <c r="K12" s="26">
        <v>1.0203644E7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16.5" customHeight="1">
      <c r="A13" s="1"/>
      <c r="B13" s="30">
        <v>4.0</v>
      </c>
      <c r="C13" s="31" t="s">
        <v>42</v>
      </c>
      <c r="D13" s="31" t="s">
        <v>33</v>
      </c>
      <c r="E13" s="32">
        <v>5338608.0</v>
      </c>
      <c r="F13" s="33">
        <v>1.4074071E7</v>
      </c>
      <c r="G13" s="30">
        <v>4.0</v>
      </c>
      <c r="H13" s="37" t="s">
        <v>43</v>
      </c>
      <c r="I13" s="35" t="s">
        <v>41</v>
      </c>
      <c r="J13" s="35">
        <v>2.0</v>
      </c>
      <c r="K13" s="32">
        <v>8232935.0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6.5" customHeight="1">
      <c r="A14" s="1"/>
      <c r="B14" s="24">
        <v>5.0</v>
      </c>
      <c r="C14" s="25" t="s">
        <v>44</v>
      </c>
      <c r="D14" s="25" t="s">
        <v>33</v>
      </c>
      <c r="E14" s="26">
        <v>5196767.0</v>
      </c>
      <c r="F14" s="27">
        <v>1.3267438E7</v>
      </c>
      <c r="G14" s="24">
        <v>5.0</v>
      </c>
      <c r="H14" s="38" t="s">
        <v>39</v>
      </c>
      <c r="I14" s="29" t="s">
        <v>45</v>
      </c>
      <c r="J14" s="29">
        <v>1.0</v>
      </c>
      <c r="K14" s="26">
        <v>5733862.0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16.5" customHeight="1">
      <c r="A15" s="1"/>
      <c r="B15" s="30">
        <v>6.0</v>
      </c>
      <c r="C15" s="31" t="s">
        <v>46</v>
      </c>
      <c r="D15" s="31" t="s">
        <v>33</v>
      </c>
      <c r="E15" s="32">
        <v>4749288.0</v>
      </c>
      <c r="F15" s="33">
        <v>1.1908964E7</v>
      </c>
      <c r="G15" s="30">
        <v>6.0</v>
      </c>
      <c r="H15" s="39" t="s">
        <v>47</v>
      </c>
      <c r="I15" s="35" t="s">
        <v>41</v>
      </c>
      <c r="J15" s="35">
        <v>2.0</v>
      </c>
      <c r="K15" s="32">
        <v>4989873.0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6.5" customHeight="1">
      <c r="A16" s="1"/>
      <c r="B16" s="24">
        <v>7.0</v>
      </c>
      <c r="C16" s="25" t="s">
        <v>48</v>
      </c>
      <c r="D16" s="25" t="s">
        <v>49</v>
      </c>
      <c r="E16" s="26">
        <v>4738329.0</v>
      </c>
      <c r="F16" s="27">
        <v>3.4238168E7</v>
      </c>
      <c r="G16" s="24">
        <v>7.0</v>
      </c>
      <c r="H16" s="28" t="s">
        <v>50</v>
      </c>
      <c r="I16" s="29" t="s">
        <v>41</v>
      </c>
      <c r="J16" s="29">
        <v>2.0</v>
      </c>
      <c r="K16" s="26">
        <v>4863126.0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16.5" customHeight="1">
      <c r="A17" s="1"/>
      <c r="B17" s="30">
        <v>8.0</v>
      </c>
      <c r="C17" s="31" t="s">
        <v>51</v>
      </c>
      <c r="D17" s="31" t="s">
        <v>33</v>
      </c>
      <c r="E17" s="32">
        <v>4718569.0</v>
      </c>
      <c r="F17" s="33">
        <v>1.2473742E7</v>
      </c>
      <c r="G17" s="30">
        <v>8.0</v>
      </c>
      <c r="H17" s="34" t="s">
        <v>49</v>
      </c>
      <c r="I17" s="35" t="s">
        <v>52</v>
      </c>
      <c r="J17" s="35">
        <v>1.0</v>
      </c>
      <c r="K17" s="32">
        <v>4738329.0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6.5" customHeight="1">
      <c r="A18" s="1"/>
      <c r="B18" s="24">
        <v>9.0</v>
      </c>
      <c r="C18" s="25" t="s">
        <v>53</v>
      </c>
      <c r="D18" s="25" t="s">
        <v>33</v>
      </c>
      <c r="E18" s="26">
        <v>4573989.0</v>
      </c>
      <c r="F18" s="27">
        <v>1.1957082E7</v>
      </c>
      <c r="G18" s="24">
        <v>9.0</v>
      </c>
      <c r="H18" s="36" t="s">
        <v>54</v>
      </c>
      <c r="I18" s="29" t="s">
        <v>52</v>
      </c>
      <c r="J18" s="29">
        <v>2.0</v>
      </c>
      <c r="K18" s="26">
        <v>4710235.0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6.5" customHeight="1">
      <c r="A19" s="1"/>
      <c r="B19" s="30">
        <v>10.0</v>
      </c>
      <c r="C19" s="31" t="s">
        <v>55</v>
      </c>
      <c r="D19" s="31" t="s">
        <v>33</v>
      </c>
      <c r="E19" s="32">
        <v>4567309.0</v>
      </c>
      <c r="F19" s="33">
        <v>1.1394505E7</v>
      </c>
      <c r="G19" s="30">
        <v>10.0</v>
      </c>
      <c r="H19" s="37" t="s">
        <v>56</v>
      </c>
      <c r="I19" s="35" t="s">
        <v>41</v>
      </c>
      <c r="J19" s="35">
        <v>1.0</v>
      </c>
      <c r="K19" s="32">
        <v>4108838.0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6.5" customHeight="1">
      <c r="A20" s="1"/>
      <c r="B20" s="24">
        <v>11.0</v>
      </c>
      <c r="C20" s="25" t="s">
        <v>57</v>
      </c>
      <c r="D20" s="25" t="s">
        <v>33</v>
      </c>
      <c r="E20" s="26">
        <v>4490039.0</v>
      </c>
      <c r="F20" s="27">
        <v>1.1720946E7</v>
      </c>
      <c r="G20" s="24">
        <v>11.0</v>
      </c>
      <c r="H20" s="38" t="s">
        <v>58</v>
      </c>
      <c r="I20" s="29" t="s">
        <v>41</v>
      </c>
      <c r="J20" s="29">
        <v>1.0</v>
      </c>
      <c r="K20" s="26">
        <v>3876044.0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6.5" customHeight="1">
      <c r="A21" s="1"/>
      <c r="B21" s="30">
        <v>12.0</v>
      </c>
      <c r="C21" s="31" t="s">
        <v>59</v>
      </c>
      <c r="D21" s="31" t="s">
        <v>33</v>
      </c>
      <c r="E21" s="32">
        <v>4423675.0</v>
      </c>
      <c r="F21" s="33">
        <v>1.1153125E7</v>
      </c>
      <c r="G21" s="30">
        <v>12.0</v>
      </c>
      <c r="H21" s="39" t="s">
        <v>60</v>
      </c>
      <c r="I21" s="35" t="s">
        <v>41</v>
      </c>
      <c r="J21" s="35">
        <v>1.0</v>
      </c>
      <c r="K21" s="32">
        <v>3583316.0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6.5" customHeight="1">
      <c r="A22" s="1"/>
      <c r="B22" s="24">
        <v>13.0</v>
      </c>
      <c r="C22" s="25" t="s">
        <v>61</v>
      </c>
      <c r="D22" s="25" t="s">
        <v>43</v>
      </c>
      <c r="E22" s="26">
        <v>4300853.0</v>
      </c>
      <c r="F22" s="27">
        <v>2.8683798E7</v>
      </c>
      <c r="G22" s="24">
        <v>13.0</v>
      </c>
      <c r="H22" s="28" t="s">
        <v>62</v>
      </c>
      <c r="I22" s="29" t="s">
        <v>63</v>
      </c>
      <c r="J22" s="29">
        <v>2.0</v>
      </c>
      <c r="K22" s="26">
        <v>3438899.0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6.5" customHeight="1">
      <c r="A23" s="1"/>
      <c r="B23" s="30">
        <v>14.0</v>
      </c>
      <c r="C23" s="31" t="s">
        <v>64</v>
      </c>
      <c r="D23" s="31" t="s">
        <v>36</v>
      </c>
      <c r="E23" s="32">
        <v>4274742.0</v>
      </c>
      <c r="F23" s="33">
        <v>2.9551375E7</v>
      </c>
      <c r="G23" s="30">
        <v>14.0</v>
      </c>
      <c r="H23" s="34" t="s">
        <v>65</v>
      </c>
      <c r="I23" s="35" t="s">
        <v>66</v>
      </c>
      <c r="J23" s="35">
        <v>1.0</v>
      </c>
      <c r="K23" s="32">
        <v>3341957.0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6.5" customHeight="1">
      <c r="A24" s="1"/>
      <c r="B24" s="24">
        <v>15.0</v>
      </c>
      <c r="C24" s="25" t="s">
        <v>67</v>
      </c>
      <c r="D24" s="25" t="s">
        <v>56</v>
      </c>
      <c r="E24" s="26">
        <v>4108838.0</v>
      </c>
      <c r="F24" s="27">
        <v>2.7783861E7</v>
      </c>
      <c r="G24" s="24">
        <v>15.0</v>
      </c>
      <c r="H24" s="36" t="s">
        <v>68</v>
      </c>
      <c r="I24" s="29" t="s">
        <v>63</v>
      </c>
      <c r="J24" s="29">
        <v>1.0</v>
      </c>
      <c r="K24" s="26">
        <v>3241010.0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6.5" customHeight="1">
      <c r="A25" s="1"/>
      <c r="B25" s="30">
        <v>16.0</v>
      </c>
      <c r="C25" s="31" t="s">
        <v>69</v>
      </c>
      <c r="D25" s="31" t="s">
        <v>40</v>
      </c>
      <c r="E25" s="32">
        <v>4007478.0</v>
      </c>
      <c r="F25" s="33">
        <v>3.1739152E7</v>
      </c>
      <c r="G25" s="30">
        <v>16.0</v>
      </c>
      <c r="H25" s="37" t="s">
        <v>70</v>
      </c>
      <c r="I25" s="35" t="s">
        <v>41</v>
      </c>
      <c r="J25" s="35">
        <v>1.0</v>
      </c>
      <c r="K25" s="32">
        <v>2776320.0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6.5" customHeight="1">
      <c r="A26" s="1"/>
      <c r="B26" s="24">
        <v>17.0</v>
      </c>
      <c r="C26" s="25" t="s">
        <v>71</v>
      </c>
      <c r="D26" s="25" t="s">
        <v>33</v>
      </c>
      <c r="E26" s="26">
        <v>3979999.0</v>
      </c>
      <c r="F26" s="27">
        <v>1.0113271E7</v>
      </c>
      <c r="G26" s="24">
        <v>17.0</v>
      </c>
      <c r="H26" s="38" t="s">
        <v>72</v>
      </c>
      <c r="I26" s="29" t="s">
        <v>63</v>
      </c>
      <c r="J26" s="29">
        <v>2.0</v>
      </c>
      <c r="K26" s="26">
        <v>2760448.0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6.5" customHeight="1">
      <c r="A27" s="1"/>
      <c r="B27" s="30">
        <v>18.0</v>
      </c>
      <c r="C27" s="31" t="s">
        <v>73</v>
      </c>
      <c r="D27" s="31" t="s">
        <v>43</v>
      </c>
      <c r="E27" s="32">
        <v>3932082.0</v>
      </c>
      <c r="F27" s="33">
        <v>2.7406397E7</v>
      </c>
      <c r="G27" s="30">
        <v>18.0</v>
      </c>
      <c r="H27" s="39" t="s">
        <v>74</v>
      </c>
      <c r="I27" s="35" t="s">
        <v>41</v>
      </c>
      <c r="J27" s="35">
        <v>1.0</v>
      </c>
      <c r="K27" s="32">
        <v>2691880.0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6.5" customHeight="1">
      <c r="A28" s="1"/>
      <c r="B28" s="24">
        <v>19.0</v>
      </c>
      <c r="C28" s="25" t="s">
        <v>75</v>
      </c>
      <c r="D28" s="25" t="s">
        <v>33</v>
      </c>
      <c r="E28" s="26">
        <v>3897341.0</v>
      </c>
      <c r="F28" s="27">
        <v>9819640.0</v>
      </c>
      <c r="G28" s="24">
        <v>19.0</v>
      </c>
      <c r="H28" s="28" t="s">
        <v>76</v>
      </c>
      <c r="I28" s="29" t="s">
        <v>41</v>
      </c>
      <c r="J28" s="29">
        <v>1.0</v>
      </c>
      <c r="K28" s="26">
        <v>2529075.0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6.5" customHeight="1">
      <c r="A29" s="1"/>
      <c r="B29" s="30">
        <v>20.0</v>
      </c>
      <c r="C29" s="31" t="s">
        <v>77</v>
      </c>
      <c r="D29" s="31" t="s">
        <v>58</v>
      </c>
      <c r="E29" s="32">
        <v>3876044.0</v>
      </c>
      <c r="F29" s="33">
        <v>2.594578E7</v>
      </c>
      <c r="G29" s="30">
        <v>20.0</v>
      </c>
      <c r="H29" s="34" t="s">
        <v>78</v>
      </c>
      <c r="I29" s="35" t="s">
        <v>63</v>
      </c>
      <c r="J29" s="35">
        <v>1.0</v>
      </c>
      <c r="K29" s="32">
        <v>2367833.0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L2"/>
    <mergeCell ref="A3:L3"/>
    <mergeCell ref="B8:F8"/>
    <mergeCell ref="G8:K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8A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5" width="13.0"/>
    <col customWidth="1" min="6" max="6" width="16.0"/>
    <col customWidth="1" min="7" max="7" width="10.0"/>
    <col customWidth="1" min="8" max="8" width="9.0"/>
    <col customWidth="1" min="9" max="9" width="14.0"/>
    <col customWidth="1" min="10" max="10" width="13.0"/>
    <col customWidth="1" min="11" max="11" width="9.0"/>
    <col customWidth="1" min="12" max="12" width="12.0"/>
    <col customWidth="1" min="13" max="13" width="11.0"/>
    <col customWidth="1" min="14" max="26" width="8.71"/>
  </cols>
  <sheetData>
    <row r="1" ht="21.75" customHeight="1">
      <c r="A1" s="40" t="s">
        <v>25</v>
      </c>
      <c r="B1" s="40" t="s">
        <v>26</v>
      </c>
      <c r="C1" s="40" t="s">
        <v>27</v>
      </c>
      <c r="D1" s="40" t="s">
        <v>79</v>
      </c>
      <c r="E1" s="40" t="s">
        <v>80</v>
      </c>
      <c r="F1" s="40" t="s">
        <v>81</v>
      </c>
      <c r="G1" s="40" t="s">
        <v>29</v>
      </c>
      <c r="H1" s="40" t="s">
        <v>82</v>
      </c>
      <c r="I1" s="40" t="s">
        <v>83</v>
      </c>
      <c r="J1" s="40" t="s">
        <v>84</v>
      </c>
      <c r="K1" s="40" t="s">
        <v>85</v>
      </c>
      <c r="L1" s="40" t="s">
        <v>86</v>
      </c>
      <c r="M1" s="40" t="s">
        <v>87</v>
      </c>
      <c r="N1" s="1"/>
    </row>
    <row r="2" ht="15.0" customHeight="1">
      <c r="A2" s="41" t="s">
        <v>32</v>
      </c>
      <c r="B2" s="41" t="s">
        <v>33</v>
      </c>
      <c r="C2" s="42">
        <v>1.127383E7</v>
      </c>
      <c r="D2" s="43">
        <v>-3370522.0</v>
      </c>
      <c r="E2" s="41">
        <v>2.5918182E7</v>
      </c>
      <c r="F2" s="41" t="s">
        <v>88</v>
      </c>
      <c r="G2" s="41" t="s">
        <v>89</v>
      </c>
      <c r="H2" s="41">
        <v>1.0</v>
      </c>
      <c r="I2" s="41">
        <v>2.0</v>
      </c>
      <c r="J2" s="41">
        <v>3.7192012E7</v>
      </c>
      <c r="K2" s="44" t="s">
        <v>90</v>
      </c>
      <c r="L2" s="45" t="s">
        <v>91</v>
      </c>
      <c r="M2" s="45" t="s">
        <v>92</v>
      </c>
      <c r="N2" s="1"/>
    </row>
    <row r="3" ht="15.0" customHeight="1">
      <c r="A3" s="46" t="s">
        <v>35</v>
      </c>
      <c r="B3" s="46" t="s">
        <v>33</v>
      </c>
      <c r="C3" s="47">
        <v>6815694.0</v>
      </c>
      <c r="D3" s="48">
        <v>-4369341.0</v>
      </c>
      <c r="E3" s="46">
        <v>1.8000729E7</v>
      </c>
      <c r="F3" s="46" t="s">
        <v>88</v>
      </c>
      <c r="G3" s="46" t="s">
        <v>89</v>
      </c>
      <c r="H3" s="46">
        <v>2.0</v>
      </c>
      <c r="I3" s="46">
        <v>2.0</v>
      </c>
      <c r="J3" s="46">
        <v>2.4816423E7</v>
      </c>
      <c r="K3" s="49" t="s">
        <v>90</v>
      </c>
      <c r="L3" s="50" t="s">
        <v>91</v>
      </c>
      <c r="M3" s="50" t="s">
        <v>92</v>
      </c>
      <c r="N3" s="1"/>
    </row>
    <row r="4" ht="15.0" customHeight="1">
      <c r="A4" s="41" t="s">
        <v>38</v>
      </c>
      <c r="B4" s="41" t="s">
        <v>39</v>
      </c>
      <c r="C4" s="42">
        <v>5733862.0</v>
      </c>
      <c r="D4" s="51">
        <v>178968.0</v>
      </c>
      <c r="E4" s="41">
        <v>3.6599831E7</v>
      </c>
      <c r="F4" s="41" t="s">
        <v>93</v>
      </c>
      <c r="G4" s="41" t="s">
        <v>94</v>
      </c>
      <c r="H4" s="41">
        <v>3.0</v>
      </c>
      <c r="I4" s="41">
        <v>119.0</v>
      </c>
      <c r="J4" s="41">
        <v>4.2333693E7</v>
      </c>
      <c r="K4" s="52" t="s">
        <v>95</v>
      </c>
      <c r="L4" s="45" t="s">
        <v>91</v>
      </c>
      <c r="M4" s="53" t="s">
        <v>96</v>
      </c>
      <c r="N4" s="1"/>
    </row>
    <row r="5" ht="15.0" customHeight="1">
      <c r="A5" s="46" t="s">
        <v>42</v>
      </c>
      <c r="B5" s="46" t="s">
        <v>33</v>
      </c>
      <c r="C5" s="47">
        <v>5338608.0</v>
      </c>
      <c r="D5" s="48">
        <v>-3396855.0</v>
      </c>
      <c r="E5" s="46">
        <v>1.4074071E7</v>
      </c>
      <c r="F5" s="46" t="s">
        <v>88</v>
      </c>
      <c r="G5" s="46" t="s">
        <v>89</v>
      </c>
      <c r="H5" s="46">
        <v>4.0</v>
      </c>
      <c r="I5" s="46">
        <v>2.0</v>
      </c>
      <c r="J5" s="46">
        <v>1.9412679E7</v>
      </c>
      <c r="K5" s="49" t="s">
        <v>90</v>
      </c>
      <c r="L5" s="50" t="s">
        <v>91</v>
      </c>
      <c r="M5" s="50" t="s">
        <v>92</v>
      </c>
      <c r="N5" s="1"/>
    </row>
    <row r="6" ht="15.0" customHeight="1">
      <c r="A6" s="41" t="s">
        <v>44</v>
      </c>
      <c r="B6" s="41" t="s">
        <v>33</v>
      </c>
      <c r="C6" s="42">
        <v>5196767.0</v>
      </c>
      <c r="D6" s="43">
        <v>-2873904.0</v>
      </c>
      <c r="E6" s="41">
        <v>1.3267438E7</v>
      </c>
      <c r="F6" s="41" t="s">
        <v>88</v>
      </c>
      <c r="G6" s="41" t="s">
        <v>89</v>
      </c>
      <c r="H6" s="41">
        <v>5.0</v>
      </c>
      <c r="I6" s="41">
        <v>2.0</v>
      </c>
      <c r="J6" s="41">
        <v>1.8464205E7</v>
      </c>
      <c r="K6" s="44" t="s">
        <v>90</v>
      </c>
      <c r="L6" s="45" t="s">
        <v>91</v>
      </c>
      <c r="M6" s="45" t="s">
        <v>92</v>
      </c>
      <c r="N6" s="1"/>
    </row>
    <row r="7" ht="15.0" customHeight="1">
      <c r="A7" s="46" t="s">
        <v>46</v>
      </c>
      <c r="B7" s="46" t="s">
        <v>33</v>
      </c>
      <c r="C7" s="47">
        <v>4749288.0</v>
      </c>
      <c r="D7" s="48">
        <v>-2410388.0</v>
      </c>
      <c r="E7" s="46">
        <v>1.1908964E7</v>
      </c>
      <c r="F7" s="46" t="s">
        <v>88</v>
      </c>
      <c r="G7" s="46" t="s">
        <v>89</v>
      </c>
      <c r="H7" s="46">
        <v>6.0</v>
      </c>
      <c r="I7" s="46">
        <v>2.0</v>
      </c>
      <c r="J7" s="46">
        <v>1.6658252E7</v>
      </c>
      <c r="K7" s="49" t="s">
        <v>90</v>
      </c>
      <c r="L7" s="54" t="s">
        <v>97</v>
      </c>
      <c r="M7" s="50" t="s">
        <v>92</v>
      </c>
      <c r="N7" s="1"/>
    </row>
    <row r="8" ht="15.0" customHeight="1">
      <c r="A8" s="41" t="s">
        <v>48</v>
      </c>
      <c r="B8" s="41" t="s">
        <v>49</v>
      </c>
      <c r="C8" s="42">
        <v>4738329.0</v>
      </c>
      <c r="D8" s="43">
        <v>-235112.0</v>
      </c>
      <c r="E8" s="41">
        <v>3.4238168E7</v>
      </c>
      <c r="F8" s="41" t="s">
        <v>98</v>
      </c>
      <c r="G8" s="41" t="s">
        <v>99</v>
      </c>
      <c r="H8" s="41">
        <v>7.0</v>
      </c>
      <c r="I8" s="41">
        <v>74.0</v>
      </c>
      <c r="J8" s="41">
        <v>3.8976497E7</v>
      </c>
      <c r="K8" s="44" t="s">
        <v>90</v>
      </c>
      <c r="L8" s="55" t="s">
        <v>97</v>
      </c>
      <c r="M8" s="56" t="s">
        <v>100</v>
      </c>
      <c r="N8" s="1"/>
    </row>
    <row r="9" ht="15.0" customHeight="1">
      <c r="A9" s="46" t="s">
        <v>51</v>
      </c>
      <c r="B9" s="46" t="s">
        <v>33</v>
      </c>
      <c r="C9" s="47">
        <v>4718569.0</v>
      </c>
      <c r="D9" s="48">
        <v>-3036604.0</v>
      </c>
      <c r="E9" s="46">
        <v>1.2473742E7</v>
      </c>
      <c r="F9" s="46" t="s">
        <v>88</v>
      </c>
      <c r="G9" s="46" t="s">
        <v>89</v>
      </c>
      <c r="H9" s="46">
        <v>8.0</v>
      </c>
      <c r="I9" s="46">
        <v>2.0</v>
      </c>
      <c r="J9" s="46">
        <v>1.7192311E7</v>
      </c>
      <c r="K9" s="49" t="s">
        <v>90</v>
      </c>
      <c r="L9" s="54" t="s">
        <v>97</v>
      </c>
      <c r="M9" s="50" t="s">
        <v>92</v>
      </c>
      <c r="N9" s="1"/>
    </row>
    <row r="10" ht="15.0" customHeight="1">
      <c r="A10" s="41" t="s">
        <v>53</v>
      </c>
      <c r="B10" s="41" t="s">
        <v>33</v>
      </c>
      <c r="C10" s="42">
        <v>4573989.0</v>
      </c>
      <c r="D10" s="43">
        <v>-2809104.0</v>
      </c>
      <c r="E10" s="41">
        <v>1.1957082E7</v>
      </c>
      <c r="F10" s="41" t="s">
        <v>88</v>
      </c>
      <c r="G10" s="41" t="s">
        <v>89</v>
      </c>
      <c r="H10" s="41">
        <v>9.0</v>
      </c>
      <c r="I10" s="41">
        <v>2.0</v>
      </c>
      <c r="J10" s="41">
        <v>1.6531071E7</v>
      </c>
      <c r="K10" s="44" t="s">
        <v>90</v>
      </c>
      <c r="L10" s="55" t="s">
        <v>97</v>
      </c>
      <c r="M10" s="45" t="s">
        <v>92</v>
      </c>
      <c r="N10" s="1"/>
    </row>
    <row r="11" ht="15.0" customHeight="1">
      <c r="A11" s="46" t="s">
        <v>55</v>
      </c>
      <c r="B11" s="46" t="s">
        <v>33</v>
      </c>
      <c r="C11" s="47">
        <v>4567309.0</v>
      </c>
      <c r="D11" s="48">
        <v>-2259887.0</v>
      </c>
      <c r="E11" s="46">
        <v>1.1394505E7</v>
      </c>
      <c r="F11" s="46" t="s">
        <v>88</v>
      </c>
      <c r="G11" s="46" t="s">
        <v>89</v>
      </c>
      <c r="H11" s="46">
        <v>10.0</v>
      </c>
      <c r="I11" s="46">
        <v>2.0</v>
      </c>
      <c r="J11" s="46">
        <v>1.5961814E7</v>
      </c>
      <c r="K11" s="49" t="s">
        <v>90</v>
      </c>
      <c r="L11" s="54" t="s">
        <v>97</v>
      </c>
      <c r="M11" s="50" t="s">
        <v>92</v>
      </c>
      <c r="N11" s="1"/>
    </row>
    <row r="12" ht="15.0" customHeight="1">
      <c r="A12" s="41" t="s">
        <v>57</v>
      </c>
      <c r="B12" s="41" t="s">
        <v>33</v>
      </c>
      <c r="C12" s="42">
        <v>4490039.0</v>
      </c>
      <c r="D12" s="43">
        <v>-2740868.0</v>
      </c>
      <c r="E12" s="41">
        <v>1.1720946E7</v>
      </c>
      <c r="F12" s="41" t="s">
        <v>88</v>
      </c>
      <c r="G12" s="41" t="s">
        <v>89</v>
      </c>
      <c r="H12" s="41">
        <v>11.0</v>
      </c>
      <c r="I12" s="41">
        <v>2.0</v>
      </c>
      <c r="J12" s="41">
        <v>1.6210985E7</v>
      </c>
      <c r="K12" s="44" t="s">
        <v>90</v>
      </c>
      <c r="L12" s="55" t="s">
        <v>97</v>
      </c>
      <c r="M12" s="45" t="s">
        <v>92</v>
      </c>
      <c r="N12" s="1"/>
    </row>
    <row r="13" ht="15.0" customHeight="1">
      <c r="A13" s="46" t="s">
        <v>59</v>
      </c>
      <c r="B13" s="46" t="s">
        <v>33</v>
      </c>
      <c r="C13" s="47">
        <v>4423675.0</v>
      </c>
      <c r="D13" s="48">
        <v>-2305775.0</v>
      </c>
      <c r="E13" s="46">
        <v>1.1153125E7</v>
      </c>
      <c r="F13" s="46" t="s">
        <v>88</v>
      </c>
      <c r="G13" s="46" t="s">
        <v>89</v>
      </c>
      <c r="H13" s="46">
        <v>12.0</v>
      </c>
      <c r="I13" s="46">
        <v>2.0</v>
      </c>
      <c r="J13" s="46">
        <v>1.55768E7</v>
      </c>
      <c r="K13" s="49" t="s">
        <v>90</v>
      </c>
      <c r="L13" s="54" t="s">
        <v>97</v>
      </c>
      <c r="M13" s="50" t="s">
        <v>92</v>
      </c>
      <c r="N13" s="1"/>
    </row>
    <row r="14" ht="15.0" customHeight="1">
      <c r="A14" s="41" t="s">
        <v>61</v>
      </c>
      <c r="B14" s="41" t="s">
        <v>43</v>
      </c>
      <c r="C14" s="42">
        <v>4300853.0</v>
      </c>
      <c r="D14" s="43">
        <v>-86237.0</v>
      </c>
      <c r="E14" s="41">
        <v>2.8683798E7</v>
      </c>
      <c r="F14" s="41" t="s">
        <v>101</v>
      </c>
      <c r="G14" s="41" t="s">
        <v>102</v>
      </c>
      <c r="H14" s="41">
        <v>13.0</v>
      </c>
      <c r="I14" s="41">
        <v>214.0</v>
      </c>
      <c r="J14" s="41">
        <v>3.2984651E7</v>
      </c>
      <c r="K14" s="44" t="s">
        <v>90</v>
      </c>
      <c r="L14" s="55" t="s">
        <v>97</v>
      </c>
      <c r="M14" s="53" t="s">
        <v>96</v>
      </c>
      <c r="N14" s="1"/>
    </row>
    <row r="15" ht="15.0" customHeight="1">
      <c r="A15" s="46" t="s">
        <v>64</v>
      </c>
      <c r="B15" s="46" t="s">
        <v>36</v>
      </c>
      <c r="C15" s="47">
        <v>4274742.0</v>
      </c>
      <c r="D15" s="48">
        <v>-111657.0</v>
      </c>
      <c r="E15" s="46">
        <v>2.9551375E7</v>
      </c>
      <c r="F15" s="46" t="s">
        <v>101</v>
      </c>
      <c r="G15" s="46" t="s">
        <v>103</v>
      </c>
      <c r="H15" s="46">
        <v>14.0</v>
      </c>
      <c r="I15" s="46">
        <v>441.0</v>
      </c>
      <c r="J15" s="46">
        <v>3.3826117E7</v>
      </c>
      <c r="K15" s="49" t="s">
        <v>90</v>
      </c>
      <c r="L15" s="54" t="s">
        <v>97</v>
      </c>
      <c r="M15" s="57" t="s">
        <v>96</v>
      </c>
      <c r="N15" s="1"/>
    </row>
    <row r="16" ht="15.0" customHeight="1">
      <c r="A16" s="41" t="s">
        <v>67</v>
      </c>
      <c r="B16" s="41" t="s">
        <v>56</v>
      </c>
      <c r="C16" s="42">
        <v>4108838.0</v>
      </c>
      <c r="D16" s="51">
        <v>51706.0</v>
      </c>
      <c r="E16" s="41">
        <v>2.7783861E7</v>
      </c>
      <c r="F16" s="41" t="s">
        <v>104</v>
      </c>
      <c r="G16" s="41" t="s">
        <v>102</v>
      </c>
      <c r="H16" s="41">
        <v>15.0</v>
      </c>
      <c r="I16" s="41">
        <v>764.0</v>
      </c>
      <c r="J16" s="41">
        <v>3.1892699E7</v>
      </c>
      <c r="K16" s="52" t="s">
        <v>95</v>
      </c>
      <c r="L16" s="55" t="s">
        <v>97</v>
      </c>
      <c r="M16" s="53" t="s">
        <v>96</v>
      </c>
      <c r="N16" s="1"/>
    </row>
    <row r="17" ht="15.0" customHeight="1">
      <c r="A17" s="46" t="s">
        <v>69</v>
      </c>
      <c r="B17" s="46" t="s">
        <v>40</v>
      </c>
      <c r="C17" s="47">
        <v>4007478.0</v>
      </c>
      <c r="D17" s="48">
        <v>-499146.0</v>
      </c>
      <c r="E17" s="46">
        <v>3.1739152E7</v>
      </c>
      <c r="F17" s="46" t="s">
        <v>101</v>
      </c>
      <c r="G17" s="46" t="s">
        <v>102</v>
      </c>
      <c r="H17" s="46">
        <v>16.0</v>
      </c>
      <c r="I17" s="46">
        <v>23.0</v>
      </c>
      <c r="J17" s="46">
        <v>3.574663E7</v>
      </c>
      <c r="K17" s="49" t="s">
        <v>90</v>
      </c>
      <c r="L17" s="54" t="s">
        <v>97</v>
      </c>
      <c r="M17" s="50" t="s">
        <v>92</v>
      </c>
      <c r="N17" s="1"/>
    </row>
    <row r="18" ht="15.0" customHeight="1">
      <c r="A18" s="41" t="s">
        <v>71</v>
      </c>
      <c r="B18" s="41" t="s">
        <v>33</v>
      </c>
      <c r="C18" s="42">
        <v>3979999.0</v>
      </c>
      <c r="D18" s="43">
        <v>-2153273.0</v>
      </c>
      <c r="E18" s="41">
        <v>1.0113271E7</v>
      </c>
      <c r="F18" s="41" t="s">
        <v>88</v>
      </c>
      <c r="G18" s="41" t="s">
        <v>89</v>
      </c>
      <c r="H18" s="41">
        <v>17.0</v>
      </c>
      <c r="I18" s="41">
        <v>2.0</v>
      </c>
      <c r="J18" s="41">
        <v>1.409327E7</v>
      </c>
      <c r="K18" s="44" t="s">
        <v>90</v>
      </c>
      <c r="L18" s="55" t="s">
        <v>97</v>
      </c>
      <c r="M18" s="45" t="s">
        <v>92</v>
      </c>
      <c r="N18" s="1"/>
    </row>
    <row r="19" ht="15.0" customHeight="1">
      <c r="A19" s="46" t="s">
        <v>73</v>
      </c>
      <c r="B19" s="46" t="s">
        <v>43</v>
      </c>
      <c r="C19" s="47">
        <v>3932082.0</v>
      </c>
      <c r="D19" s="58">
        <v>33687.0</v>
      </c>
      <c r="E19" s="46">
        <v>2.7406397E7</v>
      </c>
      <c r="F19" s="46" t="s">
        <v>101</v>
      </c>
      <c r="G19" s="46" t="s">
        <v>102</v>
      </c>
      <c r="H19" s="46">
        <v>18.0</v>
      </c>
      <c r="I19" s="46">
        <v>176.0</v>
      </c>
      <c r="J19" s="46">
        <v>3.1338479E7</v>
      </c>
      <c r="K19" s="59" t="s">
        <v>95</v>
      </c>
      <c r="L19" s="54" t="s">
        <v>97</v>
      </c>
      <c r="M19" s="57" t="s">
        <v>96</v>
      </c>
      <c r="N19" s="1"/>
    </row>
    <row r="20" ht="15.0" customHeight="1">
      <c r="A20" s="41" t="s">
        <v>75</v>
      </c>
      <c r="B20" s="41" t="s">
        <v>33</v>
      </c>
      <c r="C20" s="42">
        <v>3897341.0</v>
      </c>
      <c r="D20" s="43">
        <v>-2024958.0</v>
      </c>
      <c r="E20" s="41">
        <v>9819640.0</v>
      </c>
      <c r="F20" s="41" t="s">
        <v>88</v>
      </c>
      <c r="G20" s="41" t="s">
        <v>89</v>
      </c>
      <c r="H20" s="41">
        <v>19.0</v>
      </c>
      <c r="I20" s="41">
        <v>2.0</v>
      </c>
      <c r="J20" s="41">
        <v>1.3716981E7</v>
      </c>
      <c r="K20" s="44" t="s">
        <v>90</v>
      </c>
      <c r="L20" s="55" t="s">
        <v>97</v>
      </c>
      <c r="M20" s="45" t="s">
        <v>92</v>
      </c>
      <c r="N20" s="1"/>
    </row>
    <row r="21" ht="15.0" customHeight="1">
      <c r="A21" s="46" t="s">
        <v>77</v>
      </c>
      <c r="B21" s="46" t="s">
        <v>58</v>
      </c>
      <c r="C21" s="47">
        <v>3876044.0</v>
      </c>
      <c r="D21" s="48">
        <v>-197505.0</v>
      </c>
      <c r="E21" s="46">
        <v>2.594578E7</v>
      </c>
      <c r="F21" s="46" t="s">
        <v>105</v>
      </c>
      <c r="G21" s="46" t="s">
        <v>102</v>
      </c>
      <c r="H21" s="46">
        <v>20.0</v>
      </c>
      <c r="I21" s="46">
        <v>109.0</v>
      </c>
      <c r="J21" s="46">
        <v>2.9821824E7</v>
      </c>
      <c r="K21" s="49" t="s">
        <v>90</v>
      </c>
      <c r="L21" s="54" t="s">
        <v>97</v>
      </c>
      <c r="M21" s="57" t="s">
        <v>96</v>
      </c>
      <c r="N21" s="1"/>
    </row>
    <row r="22" ht="15.0" customHeight="1">
      <c r="A22" s="41" t="s">
        <v>106</v>
      </c>
      <c r="B22" s="41" t="s">
        <v>47</v>
      </c>
      <c r="C22" s="42">
        <v>3721332.0</v>
      </c>
      <c r="D22" s="43">
        <v>-164240.0</v>
      </c>
      <c r="E22" s="41">
        <v>2.6075129E7</v>
      </c>
      <c r="F22" s="41" t="s">
        <v>101</v>
      </c>
      <c r="G22" s="41" t="s">
        <v>102</v>
      </c>
      <c r="H22" s="41">
        <v>23.0</v>
      </c>
      <c r="I22" s="41">
        <v>170.0</v>
      </c>
      <c r="J22" s="41">
        <v>2.9796461E7</v>
      </c>
      <c r="K22" s="44" t="s">
        <v>90</v>
      </c>
      <c r="L22" s="55" t="s">
        <v>97</v>
      </c>
      <c r="M22" s="53" t="s">
        <v>96</v>
      </c>
      <c r="N22" s="1"/>
    </row>
    <row r="23" ht="15.0" customHeight="1">
      <c r="A23" s="46" t="s">
        <v>107</v>
      </c>
      <c r="B23" s="46" t="s">
        <v>60</v>
      </c>
      <c r="C23" s="47">
        <v>3583316.0</v>
      </c>
      <c r="D23" s="48">
        <v>-131585.0</v>
      </c>
      <c r="E23" s="46">
        <v>2.5787563E7</v>
      </c>
      <c r="F23" s="46" t="s">
        <v>108</v>
      </c>
      <c r="G23" s="46" t="s">
        <v>102</v>
      </c>
      <c r="H23" s="46">
        <v>25.0</v>
      </c>
      <c r="I23" s="46">
        <v>369.0</v>
      </c>
      <c r="J23" s="46">
        <v>2.9370879E7</v>
      </c>
      <c r="K23" s="49" t="s">
        <v>90</v>
      </c>
      <c r="L23" s="54" t="s">
        <v>97</v>
      </c>
      <c r="M23" s="57" t="s">
        <v>96</v>
      </c>
      <c r="N23" s="1"/>
    </row>
    <row r="24" ht="15.0" customHeight="1">
      <c r="A24" s="41" t="s">
        <v>109</v>
      </c>
      <c r="B24" s="41" t="s">
        <v>36</v>
      </c>
      <c r="C24" s="42">
        <v>3344867.0</v>
      </c>
      <c r="D24" s="43">
        <v>-44475.0</v>
      </c>
      <c r="E24" s="41">
        <v>2.2663387E7</v>
      </c>
      <c r="F24" s="41" t="s">
        <v>110</v>
      </c>
      <c r="G24" s="41" t="s">
        <v>103</v>
      </c>
      <c r="H24" s="41">
        <v>26.0</v>
      </c>
      <c r="I24" s="41">
        <v>441.0</v>
      </c>
      <c r="J24" s="41">
        <v>2.6008254E7</v>
      </c>
      <c r="K24" s="44" t="s">
        <v>90</v>
      </c>
      <c r="L24" s="55" t="s">
        <v>97</v>
      </c>
      <c r="M24" s="53" t="s">
        <v>96</v>
      </c>
      <c r="N24" s="1"/>
    </row>
    <row r="25" ht="15.0" customHeight="1">
      <c r="A25" s="46" t="s">
        <v>111</v>
      </c>
      <c r="B25" s="46" t="s">
        <v>65</v>
      </c>
      <c r="C25" s="47">
        <v>3341957.0</v>
      </c>
      <c r="D25" s="48">
        <v>-21457.0</v>
      </c>
      <c r="E25" s="46">
        <v>2.1857968E7</v>
      </c>
      <c r="F25" s="46" t="s">
        <v>101</v>
      </c>
      <c r="G25" s="46" t="s">
        <v>112</v>
      </c>
      <c r="H25" s="46">
        <v>27.0</v>
      </c>
      <c r="I25" s="46">
        <v>761.0</v>
      </c>
      <c r="J25" s="46">
        <v>2.5199925E7</v>
      </c>
      <c r="K25" s="49" t="s">
        <v>90</v>
      </c>
      <c r="L25" s="54" t="s">
        <v>97</v>
      </c>
      <c r="M25" s="57" t="s">
        <v>96</v>
      </c>
      <c r="N25" s="1"/>
    </row>
    <row r="26" ht="15.0" customHeight="1">
      <c r="A26" s="41" t="s">
        <v>113</v>
      </c>
      <c r="B26" s="41" t="s">
        <v>68</v>
      </c>
      <c r="C26" s="42">
        <v>3241010.0</v>
      </c>
      <c r="D26" s="51">
        <v>5314.0</v>
      </c>
      <c r="E26" s="41">
        <v>2.206893E7</v>
      </c>
      <c r="F26" s="41" t="s">
        <v>101</v>
      </c>
      <c r="G26" s="41" t="s">
        <v>114</v>
      </c>
      <c r="H26" s="41">
        <v>28.0</v>
      </c>
      <c r="I26" s="41">
        <v>184.0</v>
      </c>
      <c r="J26" s="41">
        <v>2.530994E7</v>
      </c>
      <c r="K26" s="52" t="s">
        <v>95</v>
      </c>
      <c r="L26" s="55" t="s">
        <v>97</v>
      </c>
      <c r="M26" s="53" t="s">
        <v>96</v>
      </c>
      <c r="N26" s="1"/>
    </row>
    <row r="27" ht="15.0" customHeight="1">
      <c r="A27" s="46" t="s">
        <v>115</v>
      </c>
      <c r="B27" s="46" t="s">
        <v>36</v>
      </c>
      <c r="C27" s="47">
        <v>3221298.0</v>
      </c>
      <c r="D27" s="48">
        <v>-80099.0</v>
      </c>
      <c r="E27" s="46">
        <v>2.1951925E7</v>
      </c>
      <c r="F27" s="46" t="s">
        <v>110</v>
      </c>
      <c r="G27" s="46" t="s">
        <v>103</v>
      </c>
      <c r="H27" s="46">
        <v>29.0</v>
      </c>
      <c r="I27" s="46">
        <v>441.0</v>
      </c>
      <c r="J27" s="46">
        <v>2.5173223E7</v>
      </c>
      <c r="K27" s="49" t="s">
        <v>90</v>
      </c>
      <c r="L27" s="54" t="s">
        <v>97</v>
      </c>
      <c r="M27" s="57" t="s">
        <v>96</v>
      </c>
      <c r="N27" s="1"/>
    </row>
    <row r="28" ht="15.0" customHeight="1">
      <c r="A28" s="41" t="s">
        <v>116</v>
      </c>
      <c r="B28" s="41" t="s">
        <v>54</v>
      </c>
      <c r="C28" s="42">
        <v>3101460.0</v>
      </c>
      <c r="D28" s="43">
        <v>-420059.0</v>
      </c>
      <c r="E28" s="41">
        <v>2.4771218E7</v>
      </c>
      <c r="F28" s="41" t="s">
        <v>117</v>
      </c>
      <c r="G28" s="41" t="s">
        <v>99</v>
      </c>
      <c r="H28" s="41">
        <v>31.0</v>
      </c>
      <c r="I28" s="41">
        <v>16.0</v>
      </c>
      <c r="J28" s="41">
        <v>2.7872678E7</v>
      </c>
      <c r="K28" s="44" t="s">
        <v>90</v>
      </c>
      <c r="L28" s="55" t="s">
        <v>97</v>
      </c>
      <c r="M28" s="45" t="s">
        <v>92</v>
      </c>
      <c r="N28" s="1"/>
    </row>
    <row r="29" ht="15.0" customHeight="1">
      <c r="A29" s="46" t="s">
        <v>118</v>
      </c>
      <c r="B29" s="46" t="s">
        <v>40</v>
      </c>
      <c r="C29" s="47">
        <v>2860193.0</v>
      </c>
      <c r="D29" s="48">
        <v>-16107.0</v>
      </c>
      <c r="E29" s="46">
        <v>1.9846361E7</v>
      </c>
      <c r="F29" s="46" t="s">
        <v>101</v>
      </c>
      <c r="G29" s="46" t="s">
        <v>102</v>
      </c>
      <c r="H29" s="46">
        <v>33.0</v>
      </c>
      <c r="I29" s="46">
        <v>72.0</v>
      </c>
      <c r="J29" s="46">
        <v>2.2706554E7</v>
      </c>
      <c r="K29" s="49" t="s">
        <v>90</v>
      </c>
      <c r="L29" s="54" t="s">
        <v>97</v>
      </c>
      <c r="M29" s="60" t="s">
        <v>100</v>
      </c>
      <c r="N29" s="1"/>
    </row>
    <row r="30" ht="15.0" customHeight="1">
      <c r="A30" s="41" t="s">
        <v>119</v>
      </c>
      <c r="B30" s="41" t="s">
        <v>70</v>
      </c>
      <c r="C30" s="42">
        <v>2776320.0</v>
      </c>
      <c r="D30" s="43">
        <v>-126309.0</v>
      </c>
      <c r="E30" s="41">
        <v>1.9907609E7</v>
      </c>
      <c r="F30" s="41" t="s">
        <v>120</v>
      </c>
      <c r="G30" s="41" t="s">
        <v>102</v>
      </c>
      <c r="H30" s="41">
        <v>34.0</v>
      </c>
      <c r="I30" s="41">
        <v>919.0</v>
      </c>
      <c r="J30" s="41">
        <v>2.2683929E7</v>
      </c>
      <c r="K30" s="44" t="s">
        <v>90</v>
      </c>
      <c r="L30" s="55" t="s">
        <v>97</v>
      </c>
      <c r="M30" s="53" t="s">
        <v>96</v>
      </c>
      <c r="N30" s="1"/>
    </row>
    <row r="31" ht="15.0" customHeight="1">
      <c r="A31" s="46" t="s">
        <v>121</v>
      </c>
      <c r="B31" s="46" t="s">
        <v>74</v>
      </c>
      <c r="C31" s="47">
        <v>2691880.0</v>
      </c>
      <c r="D31" s="48">
        <v>-142292.0</v>
      </c>
      <c r="E31" s="46">
        <v>1.932534E7</v>
      </c>
      <c r="F31" s="46" t="s">
        <v>101</v>
      </c>
      <c r="G31" s="46" t="s">
        <v>102</v>
      </c>
      <c r="H31" s="46">
        <v>35.0</v>
      </c>
      <c r="I31" s="46">
        <v>583.0</v>
      </c>
      <c r="J31" s="46">
        <v>2.201722E7</v>
      </c>
      <c r="K31" s="49" t="s">
        <v>90</v>
      </c>
      <c r="L31" s="54" t="s">
        <v>97</v>
      </c>
      <c r="M31" s="57" t="s">
        <v>96</v>
      </c>
      <c r="N31" s="1"/>
    </row>
    <row r="32" ht="15.0" customHeight="1">
      <c r="A32" s="41" t="s">
        <v>122</v>
      </c>
      <c r="B32" s="41" t="s">
        <v>50</v>
      </c>
      <c r="C32" s="42">
        <v>2649376.0</v>
      </c>
      <c r="D32" s="43">
        <v>-38989.0</v>
      </c>
      <c r="E32" s="41">
        <v>1.7388953E7</v>
      </c>
      <c r="F32" s="41" t="s">
        <v>101</v>
      </c>
      <c r="G32" s="41" t="s">
        <v>102</v>
      </c>
      <c r="H32" s="41">
        <v>36.0</v>
      </c>
      <c r="I32" s="41">
        <v>289.0</v>
      </c>
      <c r="J32" s="41">
        <v>2.0038329E7</v>
      </c>
      <c r="K32" s="44" t="s">
        <v>90</v>
      </c>
      <c r="L32" s="55" t="s">
        <v>97</v>
      </c>
      <c r="M32" s="53" t="s">
        <v>96</v>
      </c>
      <c r="N32" s="1"/>
    </row>
    <row r="33" ht="15.0" customHeight="1">
      <c r="A33" s="46" t="s">
        <v>123</v>
      </c>
      <c r="B33" s="46" t="s">
        <v>76</v>
      </c>
      <c r="C33" s="47">
        <v>2529075.0</v>
      </c>
      <c r="D33" s="58">
        <v>24180.0</v>
      </c>
      <c r="E33" s="46">
        <v>1.7056445E7</v>
      </c>
      <c r="F33" s="46" t="s">
        <v>93</v>
      </c>
      <c r="G33" s="46" t="s">
        <v>102</v>
      </c>
      <c r="H33" s="46">
        <v>41.0</v>
      </c>
      <c r="I33" s="46">
        <v>674.0</v>
      </c>
      <c r="J33" s="46">
        <v>1.958552E7</v>
      </c>
      <c r="K33" s="59" t="s">
        <v>95</v>
      </c>
      <c r="L33" s="54" t="s">
        <v>97</v>
      </c>
      <c r="M33" s="57" t="s">
        <v>96</v>
      </c>
      <c r="N33" s="1"/>
    </row>
    <row r="34" ht="15.0" customHeight="1">
      <c r="A34" s="41" t="s">
        <v>124</v>
      </c>
      <c r="B34" s="41" t="s">
        <v>78</v>
      </c>
      <c r="C34" s="42">
        <v>2367833.0</v>
      </c>
      <c r="D34" s="51">
        <v>25446.0</v>
      </c>
      <c r="E34" s="41">
        <v>1.6070168E7</v>
      </c>
      <c r="F34" s="41" t="s">
        <v>125</v>
      </c>
      <c r="G34" s="41" t="s">
        <v>114</v>
      </c>
      <c r="H34" s="41">
        <v>44.0</v>
      </c>
      <c r="I34" s="41">
        <v>1619.0</v>
      </c>
      <c r="J34" s="41">
        <v>1.8438001E7</v>
      </c>
      <c r="K34" s="52" t="s">
        <v>95</v>
      </c>
      <c r="L34" s="55" t="s">
        <v>97</v>
      </c>
      <c r="M34" s="53" t="s">
        <v>96</v>
      </c>
      <c r="N34" s="1"/>
    </row>
    <row r="35" ht="15.0" customHeight="1">
      <c r="A35" s="46" t="s">
        <v>126</v>
      </c>
      <c r="B35" s="46" t="s">
        <v>127</v>
      </c>
      <c r="C35" s="47">
        <v>2220784.0</v>
      </c>
      <c r="D35" s="48">
        <v>-28156.0</v>
      </c>
      <c r="E35" s="46">
        <v>1.4355698E7</v>
      </c>
      <c r="F35" s="46" t="s">
        <v>117</v>
      </c>
      <c r="G35" s="46" t="s">
        <v>114</v>
      </c>
      <c r="H35" s="46">
        <v>47.0</v>
      </c>
      <c r="I35" s="46">
        <v>1682.0</v>
      </c>
      <c r="J35" s="46">
        <v>1.6576482E7</v>
      </c>
      <c r="K35" s="49" t="s">
        <v>90</v>
      </c>
      <c r="L35" s="54" t="s">
        <v>97</v>
      </c>
      <c r="M35" s="57" t="s">
        <v>96</v>
      </c>
      <c r="N35" s="1"/>
    </row>
    <row r="36" ht="15.0" customHeight="1">
      <c r="A36" s="41" t="s">
        <v>128</v>
      </c>
      <c r="B36" s="41" t="s">
        <v>50</v>
      </c>
      <c r="C36" s="42">
        <v>2213750.0</v>
      </c>
      <c r="D36" s="51">
        <v>90339.0</v>
      </c>
      <c r="E36" s="41">
        <v>1.3566149E7</v>
      </c>
      <c r="F36" s="41" t="s">
        <v>101</v>
      </c>
      <c r="G36" s="41" t="s">
        <v>102</v>
      </c>
      <c r="H36" s="41">
        <v>48.0</v>
      </c>
      <c r="I36" s="41">
        <v>709.0</v>
      </c>
      <c r="J36" s="41">
        <v>1.5779899E7</v>
      </c>
      <c r="K36" s="52" t="s">
        <v>95</v>
      </c>
      <c r="L36" s="55" t="s">
        <v>97</v>
      </c>
      <c r="M36" s="53" t="s">
        <v>96</v>
      </c>
      <c r="N36" s="1"/>
    </row>
    <row r="37" ht="15.0" customHeight="1">
      <c r="A37" s="46" t="s">
        <v>129</v>
      </c>
      <c r="B37" s="46" t="s">
        <v>130</v>
      </c>
      <c r="C37" s="47">
        <v>2090231.0</v>
      </c>
      <c r="D37" s="58">
        <v>129461.0</v>
      </c>
      <c r="E37" s="46">
        <v>1.3021976E7</v>
      </c>
      <c r="F37" s="46" t="s">
        <v>101</v>
      </c>
      <c r="G37" s="46" t="s">
        <v>102</v>
      </c>
      <c r="H37" s="46">
        <v>54.0</v>
      </c>
      <c r="I37" s="46">
        <v>793.0</v>
      </c>
      <c r="J37" s="46">
        <v>1.5112207E7</v>
      </c>
      <c r="K37" s="59" t="s">
        <v>95</v>
      </c>
      <c r="L37" s="54" t="s">
        <v>97</v>
      </c>
      <c r="M37" s="57" t="s">
        <v>96</v>
      </c>
      <c r="N37" s="1"/>
    </row>
    <row r="38" ht="15.0" customHeight="1">
      <c r="A38" s="41" t="s">
        <v>131</v>
      </c>
      <c r="B38" s="41" t="s">
        <v>132</v>
      </c>
      <c r="C38" s="42">
        <v>2068795.0</v>
      </c>
      <c r="D38" s="43">
        <v>-177998.0</v>
      </c>
      <c r="E38" s="41">
        <v>1.58451E7</v>
      </c>
      <c r="F38" s="41" t="s">
        <v>117</v>
      </c>
      <c r="G38" s="41" t="s">
        <v>114</v>
      </c>
      <c r="H38" s="41">
        <v>56.0</v>
      </c>
      <c r="I38" s="41">
        <v>2120.0</v>
      </c>
      <c r="J38" s="41">
        <v>1.7913895E7</v>
      </c>
      <c r="K38" s="44" t="s">
        <v>90</v>
      </c>
      <c r="L38" s="55" t="s">
        <v>97</v>
      </c>
      <c r="M38" s="53" t="s">
        <v>96</v>
      </c>
      <c r="N38" s="1"/>
    </row>
    <row r="39" ht="15.0" customHeight="1">
      <c r="A39" s="46" t="s">
        <v>133</v>
      </c>
      <c r="B39" s="46" t="s">
        <v>134</v>
      </c>
      <c r="C39" s="47">
        <v>2035423.0</v>
      </c>
      <c r="D39" s="48">
        <v>-105895.0</v>
      </c>
      <c r="E39" s="46">
        <v>1.3481976E7</v>
      </c>
      <c r="F39" s="46" t="s">
        <v>135</v>
      </c>
      <c r="G39" s="46" t="s">
        <v>136</v>
      </c>
      <c r="H39" s="46">
        <v>57.0</v>
      </c>
      <c r="I39" s="46">
        <v>2135.0</v>
      </c>
      <c r="J39" s="46">
        <v>1.5517399E7</v>
      </c>
      <c r="K39" s="49" t="s">
        <v>90</v>
      </c>
      <c r="L39" s="54" t="s">
        <v>97</v>
      </c>
      <c r="M39" s="57" t="s">
        <v>96</v>
      </c>
      <c r="N39" s="1"/>
    </row>
    <row r="40" ht="15.0" customHeight="1">
      <c r="A40" s="41" t="s">
        <v>137</v>
      </c>
      <c r="B40" s="41" t="s">
        <v>138</v>
      </c>
      <c r="C40" s="42">
        <v>2011657.0</v>
      </c>
      <c r="D40" s="43">
        <v>-91449.0</v>
      </c>
      <c r="E40" s="41">
        <v>1.4176633E7</v>
      </c>
      <c r="F40" s="41" t="s">
        <v>117</v>
      </c>
      <c r="G40" s="41" t="s">
        <v>114</v>
      </c>
      <c r="H40" s="41">
        <v>59.0</v>
      </c>
      <c r="I40" s="41">
        <v>842.0</v>
      </c>
      <c r="J40" s="41">
        <v>1.618829E7</v>
      </c>
      <c r="K40" s="44" t="s">
        <v>90</v>
      </c>
      <c r="L40" s="55" t="s">
        <v>97</v>
      </c>
      <c r="M40" s="53" t="s">
        <v>96</v>
      </c>
      <c r="N40" s="1"/>
    </row>
    <row r="41" ht="15.0" customHeight="1">
      <c r="A41" s="46" t="s">
        <v>139</v>
      </c>
      <c r="B41" s="46" t="s">
        <v>140</v>
      </c>
      <c r="C41" s="47">
        <v>1952764.0</v>
      </c>
      <c r="D41" s="58">
        <v>66159.0</v>
      </c>
      <c r="E41" s="46">
        <v>1.2629601E7</v>
      </c>
      <c r="F41" s="46" t="s">
        <v>141</v>
      </c>
      <c r="G41" s="46" t="s">
        <v>142</v>
      </c>
      <c r="H41" s="46">
        <v>62.0</v>
      </c>
      <c r="I41" s="46">
        <v>86.0</v>
      </c>
      <c r="J41" s="46">
        <v>1.4582365E7</v>
      </c>
      <c r="K41" s="59" t="s">
        <v>95</v>
      </c>
      <c r="L41" s="54" t="s">
        <v>97</v>
      </c>
      <c r="M41" s="60" t="s">
        <v>100</v>
      </c>
      <c r="N41" s="1"/>
    </row>
    <row r="42" ht="15.0" customHeight="1">
      <c r="A42" s="41" t="s">
        <v>143</v>
      </c>
      <c r="B42" s="41" t="s">
        <v>144</v>
      </c>
      <c r="C42" s="42">
        <v>1894536.0</v>
      </c>
      <c r="D42" s="51">
        <v>109844.0</v>
      </c>
      <c r="E42" s="41">
        <v>1.1986886E7</v>
      </c>
      <c r="F42" s="41" t="s">
        <v>117</v>
      </c>
      <c r="G42" s="41" t="s">
        <v>114</v>
      </c>
      <c r="H42" s="41">
        <v>67.0</v>
      </c>
      <c r="I42" s="41">
        <v>1004.0</v>
      </c>
      <c r="J42" s="41">
        <v>1.3881422E7</v>
      </c>
      <c r="K42" s="52" t="s">
        <v>95</v>
      </c>
      <c r="L42" s="55" t="s">
        <v>97</v>
      </c>
      <c r="M42" s="53" t="s">
        <v>96</v>
      </c>
      <c r="N42" s="1"/>
    </row>
    <row r="43" ht="15.0" customHeight="1">
      <c r="A43" s="46" t="s">
        <v>145</v>
      </c>
      <c r="B43" s="46" t="s">
        <v>62</v>
      </c>
      <c r="C43" s="47">
        <v>1828666.0</v>
      </c>
      <c r="D43" s="48">
        <v>-99526.0</v>
      </c>
      <c r="E43" s="46">
        <v>1.286216E7</v>
      </c>
      <c r="F43" s="46" t="s">
        <v>120</v>
      </c>
      <c r="G43" s="46" t="s">
        <v>114</v>
      </c>
      <c r="H43" s="46">
        <v>69.0</v>
      </c>
      <c r="I43" s="46">
        <v>1909.0</v>
      </c>
      <c r="J43" s="46">
        <v>1.4690826E7</v>
      </c>
      <c r="K43" s="49" t="s">
        <v>90</v>
      </c>
      <c r="L43" s="54" t="s">
        <v>97</v>
      </c>
      <c r="M43" s="57" t="s">
        <v>96</v>
      </c>
      <c r="N43" s="1"/>
    </row>
    <row r="44" ht="15.0" customHeight="1">
      <c r="A44" s="41" t="s">
        <v>146</v>
      </c>
      <c r="B44" s="41" t="s">
        <v>40</v>
      </c>
      <c r="C44" s="42">
        <v>1827015.0</v>
      </c>
      <c r="D44" s="43">
        <v>-180903.0</v>
      </c>
      <c r="E44" s="41">
        <v>1.3448378E7</v>
      </c>
      <c r="F44" s="41" t="s">
        <v>101</v>
      </c>
      <c r="G44" s="41" t="s">
        <v>102</v>
      </c>
      <c r="H44" s="41">
        <v>70.0</v>
      </c>
      <c r="I44" s="41">
        <v>1548.0</v>
      </c>
      <c r="J44" s="41">
        <v>1.5275393E7</v>
      </c>
      <c r="K44" s="44" t="s">
        <v>90</v>
      </c>
      <c r="L44" s="55" t="s">
        <v>97</v>
      </c>
      <c r="M44" s="53" t="s">
        <v>96</v>
      </c>
      <c r="N44" s="1"/>
    </row>
    <row r="45" ht="15.0" customHeight="1">
      <c r="A45" s="46" t="s">
        <v>147</v>
      </c>
      <c r="B45" s="46" t="s">
        <v>148</v>
      </c>
      <c r="C45" s="47">
        <v>1621060.0</v>
      </c>
      <c r="D45" s="58">
        <v>15852.0</v>
      </c>
      <c r="E45" s="46">
        <v>1.0803226E7</v>
      </c>
      <c r="F45" s="46" t="s">
        <v>101</v>
      </c>
      <c r="G45" s="46" t="s">
        <v>102</v>
      </c>
      <c r="H45" s="46">
        <v>92.0</v>
      </c>
      <c r="I45" s="46">
        <v>710.0</v>
      </c>
      <c r="J45" s="46">
        <v>1.2424286E7</v>
      </c>
      <c r="K45" s="59" t="s">
        <v>95</v>
      </c>
      <c r="L45" s="54" t="s">
        <v>97</v>
      </c>
      <c r="M45" s="57" t="s">
        <v>96</v>
      </c>
      <c r="N45" s="1"/>
    </row>
    <row r="46" ht="15.0" customHeight="1">
      <c r="A46" s="41" t="s">
        <v>149</v>
      </c>
      <c r="B46" s="41" t="s">
        <v>62</v>
      </c>
      <c r="C46" s="42">
        <v>1610233.0</v>
      </c>
      <c r="D46" s="51">
        <v>106290.0</v>
      </c>
      <c r="E46" s="41">
        <v>1.0117917E7</v>
      </c>
      <c r="F46" s="41" t="s">
        <v>120</v>
      </c>
      <c r="G46" s="41" t="s">
        <v>114</v>
      </c>
      <c r="H46" s="41">
        <v>93.0</v>
      </c>
      <c r="I46" s="41">
        <v>1329.0</v>
      </c>
      <c r="J46" s="41">
        <v>1.172815E7</v>
      </c>
      <c r="K46" s="52" t="s">
        <v>95</v>
      </c>
      <c r="L46" s="55" t="s">
        <v>97</v>
      </c>
      <c r="M46" s="53" t="s">
        <v>96</v>
      </c>
      <c r="N46" s="1"/>
    </row>
    <row r="47" ht="15.0" customHeight="1">
      <c r="A47" s="46" t="s">
        <v>150</v>
      </c>
      <c r="B47" s="46" t="s">
        <v>54</v>
      </c>
      <c r="C47" s="47">
        <v>1608775.0</v>
      </c>
      <c r="D47" s="48">
        <v>-150504.0</v>
      </c>
      <c r="E47" s="46">
        <v>1.1660629E7</v>
      </c>
      <c r="F47" s="46" t="s">
        <v>101</v>
      </c>
      <c r="G47" s="46" t="s">
        <v>99</v>
      </c>
      <c r="H47" s="46">
        <v>94.0</v>
      </c>
      <c r="I47" s="46">
        <v>1401.0</v>
      </c>
      <c r="J47" s="46">
        <v>1.3269404E7</v>
      </c>
      <c r="K47" s="49" t="s">
        <v>90</v>
      </c>
      <c r="L47" s="54" t="s">
        <v>97</v>
      </c>
      <c r="M47" s="57" t="s">
        <v>96</v>
      </c>
      <c r="N47" s="1"/>
    </row>
    <row r="48" ht="15.0" customHeight="1">
      <c r="A48" s="41" t="s">
        <v>151</v>
      </c>
      <c r="B48" s="41" t="s">
        <v>152</v>
      </c>
      <c r="C48" s="42">
        <v>1669648.0</v>
      </c>
      <c r="D48" s="43">
        <v>-99808.0</v>
      </c>
      <c r="E48" s="41">
        <v>1.1921501E7</v>
      </c>
      <c r="F48" s="41" t="s">
        <v>153</v>
      </c>
      <c r="G48" s="41" t="s">
        <v>99</v>
      </c>
      <c r="H48" s="41">
        <v>83.0</v>
      </c>
      <c r="I48" s="41">
        <v>443.0</v>
      </c>
      <c r="J48" s="41">
        <v>1.3591149E7</v>
      </c>
      <c r="K48" s="44" t="s">
        <v>90</v>
      </c>
      <c r="L48" s="55" t="s">
        <v>97</v>
      </c>
      <c r="M48" s="53" t="s">
        <v>96</v>
      </c>
      <c r="N48" s="1"/>
    </row>
    <row r="49" ht="15.0" customHeight="1">
      <c r="A49" s="46" t="s">
        <v>154</v>
      </c>
      <c r="B49" s="46" t="s">
        <v>155</v>
      </c>
      <c r="C49" s="47">
        <v>1647656.0</v>
      </c>
      <c r="D49" s="48">
        <v>-111701.0</v>
      </c>
      <c r="E49" s="46">
        <v>1.1401354E7</v>
      </c>
      <c r="F49" s="46" t="s">
        <v>156</v>
      </c>
      <c r="G49" s="46" t="s">
        <v>102</v>
      </c>
      <c r="H49" s="46">
        <v>86.0</v>
      </c>
      <c r="I49" s="46">
        <v>1012.0</v>
      </c>
      <c r="J49" s="46">
        <v>1.304901E7</v>
      </c>
      <c r="K49" s="49" t="s">
        <v>90</v>
      </c>
      <c r="L49" s="54" t="s">
        <v>97</v>
      </c>
      <c r="M49" s="57" t="s">
        <v>96</v>
      </c>
      <c r="N49" s="1"/>
    </row>
    <row r="50" ht="15.0" customHeight="1">
      <c r="A50" s="41" t="s">
        <v>157</v>
      </c>
      <c r="B50" s="41" t="s">
        <v>158</v>
      </c>
      <c r="C50" s="42">
        <v>1448450.0</v>
      </c>
      <c r="D50" s="51">
        <v>11224.0</v>
      </c>
      <c r="E50" s="41">
        <v>9729402.0</v>
      </c>
      <c r="F50" s="41" t="s">
        <v>159</v>
      </c>
      <c r="G50" s="41" t="s">
        <v>136</v>
      </c>
      <c r="H50" s="41">
        <v>118.0</v>
      </c>
      <c r="I50" s="41">
        <v>2301.0</v>
      </c>
      <c r="J50" s="41">
        <v>1.1177852E7</v>
      </c>
      <c r="K50" s="52" t="s">
        <v>95</v>
      </c>
      <c r="L50" s="55" t="s">
        <v>97</v>
      </c>
      <c r="M50" s="53" t="s">
        <v>96</v>
      </c>
      <c r="N50" s="1"/>
    </row>
    <row r="51" ht="15.0" customHeight="1">
      <c r="A51" s="46" t="s">
        <v>160</v>
      </c>
      <c r="B51" s="46" t="s">
        <v>161</v>
      </c>
      <c r="C51" s="47">
        <v>1283948.0</v>
      </c>
      <c r="D51" s="58">
        <v>40456.0</v>
      </c>
      <c r="E51" s="46">
        <v>6149401.0</v>
      </c>
      <c r="F51" s="46" t="s">
        <v>101</v>
      </c>
      <c r="G51" s="46" t="s">
        <v>162</v>
      </c>
      <c r="H51" s="46">
        <v>161.0</v>
      </c>
      <c r="I51" s="46">
        <v>620.0</v>
      </c>
      <c r="J51" s="46">
        <v>7433349.0</v>
      </c>
      <c r="K51" s="59" t="s">
        <v>95</v>
      </c>
      <c r="L51" s="54" t="s">
        <v>97</v>
      </c>
      <c r="M51" s="57" t="s">
        <v>96</v>
      </c>
      <c r="N51" s="1"/>
    </row>
    <row r="52" ht="15.0" customHeight="1">
      <c r="A52" s="41" t="s">
        <v>163</v>
      </c>
      <c r="B52" s="41" t="s">
        <v>47</v>
      </c>
      <c r="C52" s="42">
        <v>1268541.0</v>
      </c>
      <c r="D52" s="51">
        <v>9198.0</v>
      </c>
      <c r="E52" s="41">
        <v>2527884.0</v>
      </c>
      <c r="F52" s="41" t="s">
        <v>101</v>
      </c>
      <c r="G52" s="41" t="s">
        <v>102</v>
      </c>
      <c r="H52" s="41">
        <v>172.0</v>
      </c>
      <c r="I52" s="41">
        <v>1014.0</v>
      </c>
      <c r="J52" s="41">
        <v>3796425.0</v>
      </c>
      <c r="K52" s="52" t="s">
        <v>95</v>
      </c>
      <c r="L52" s="55" t="s">
        <v>97</v>
      </c>
      <c r="M52" s="53" t="s">
        <v>96</v>
      </c>
      <c r="N52" s="1"/>
    </row>
    <row r="53" ht="15.0" customHeight="1">
      <c r="A53" s="46" t="s">
        <v>164</v>
      </c>
      <c r="B53" s="46" t="s">
        <v>165</v>
      </c>
      <c r="C53" s="47">
        <v>1260494.0</v>
      </c>
      <c r="D53" s="48">
        <v>-89450.0</v>
      </c>
      <c r="E53" s="46">
        <v>9151667.0</v>
      </c>
      <c r="F53" s="46" t="s">
        <v>135</v>
      </c>
      <c r="G53" s="46" t="s">
        <v>102</v>
      </c>
      <c r="H53" s="46">
        <v>175.0</v>
      </c>
      <c r="I53" s="46">
        <v>483.0</v>
      </c>
      <c r="J53" s="46">
        <v>1.0412161E7</v>
      </c>
      <c r="K53" s="49" t="s">
        <v>90</v>
      </c>
      <c r="L53" s="54" t="s">
        <v>97</v>
      </c>
      <c r="M53" s="57" t="s">
        <v>96</v>
      </c>
      <c r="N53" s="1"/>
    </row>
    <row r="54" ht="15.0" customHeight="1">
      <c r="A54" s="41" t="s">
        <v>166</v>
      </c>
      <c r="B54" s="41" t="s">
        <v>167</v>
      </c>
      <c r="C54" s="42">
        <v>1540953.0</v>
      </c>
      <c r="D54" s="51">
        <v>46742.0</v>
      </c>
      <c r="E54" s="41">
        <v>9623813.0</v>
      </c>
      <c r="F54" s="41" t="s">
        <v>110</v>
      </c>
      <c r="G54" s="41" t="s">
        <v>168</v>
      </c>
      <c r="H54" s="41">
        <v>103.0</v>
      </c>
      <c r="I54" s="41">
        <v>583.0</v>
      </c>
      <c r="J54" s="41">
        <v>1.1164766E7</v>
      </c>
      <c r="K54" s="52" t="s">
        <v>95</v>
      </c>
      <c r="L54" s="55" t="s">
        <v>97</v>
      </c>
      <c r="M54" s="53" t="s">
        <v>96</v>
      </c>
      <c r="N54" s="1"/>
    </row>
    <row r="55" ht="15.0" customHeight="1">
      <c r="A55" s="46" t="s">
        <v>169</v>
      </c>
      <c r="B55" s="46" t="s">
        <v>170</v>
      </c>
      <c r="C55" s="47">
        <v>1564019.0</v>
      </c>
      <c r="D55" s="58">
        <v>112870.0</v>
      </c>
      <c r="E55" s="46">
        <v>1.0014833E7</v>
      </c>
      <c r="F55" s="46" t="s">
        <v>141</v>
      </c>
      <c r="G55" s="46" t="s">
        <v>142</v>
      </c>
      <c r="H55" s="46">
        <v>99.0</v>
      </c>
      <c r="I55" s="46">
        <v>317.0</v>
      </c>
      <c r="J55" s="46">
        <v>1.1578852E7</v>
      </c>
      <c r="K55" s="59" t="s">
        <v>95</v>
      </c>
      <c r="L55" s="54" t="s">
        <v>97</v>
      </c>
      <c r="M55" s="57" t="s">
        <v>96</v>
      </c>
      <c r="N55" s="1"/>
    </row>
    <row r="56" ht="15.0" customHeight="1">
      <c r="A56" s="41" t="s">
        <v>171</v>
      </c>
      <c r="B56" s="41" t="s">
        <v>40</v>
      </c>
      <c r="C56" s="42">
        <v>1508958.0</v>
      </c>
      <c r="D56" s="51">
        <v>144568.0</v>
      </c>
      <c r="E56" s="41">
        <v>1.0366342E7</v>
      </c>
      <c r="F56" s="41" t="s">
        <v>101</v>
      </c>
      <c r="G56" s="41" t="s">
        <v>102</v>
      </c>
      <c r="H56" s="41">
        <v>110.0</v>
      </c>
      <c r="I56" s="41">
        <v>1476.0</v>
      </c>
      <c r="J56" s="41">
        <v>1.18753E7</v>
      </c>
      <c r="K56" s="52" t="s">
        <v>95</v>
      </c>
      <c r="L56" s="55" t="s">
        <v>97</v>
      </c>
      <c r="M56" s="53" t="s">
        <v>96</v>
      </c>
      <c r="N56" s="1"/>
    </row>
    <row r="57" ht="15.0" customHeight="1">
      <c r="A57" s="46" t="s">
        <v>172</v>
      </c>
      <c r="B57" s="46" t="s">
        <v>173</v>
      </c>
      <c r="C57" s="47">
        <v>1507387.0</v>
      </c>
      <c r="D57" s="58">
        <v>52997.0</v>
      </c>
      <c r="E57" s="46">
        <v>9344647.0</v>
      </c>
      <c r="F57" s="46" t="s">
        <v>174</v>
      </c>
      <c r="G57" s="46" t="s">
        <v>102</v>
      </c>
      <c r="H57" s="46">
        <v>111.0</v>
      </c>
      <c r="I57" s="46">
        <v>484.0</v>
      </c>
      <c r="J57" s="46">
        <v>1.0852034E7</v>
      </c>
      <c r="K57" s="59" t="s">
        <v>95</v>
      </c>
      <c r="L57" s="54" t="s">
        <v>97</v>
      </c>
      <c r="M57" s="57" t="s">
        <v>96</v>
      </c>
      <c r="N57" s="1"/>
    </row>
    <row r="58" ht="15.0" customHeight="1">
      <c r="A58" s="41" t="s">
        <v>175</v>
      </c>
      <c r="B58" s="41" t="s">
        <v>176</v>
      </c>
      <c r="C58" s="42">
        <v>1551069.0</v>
      </c>
      <c r="D58" s="51">
        <v>20972.0</v>
      </c>
      <c r="E58" s="41">
        <v>9991848.0</v>
      </c>
      <c r="F58" s="41" t="s">
        <v>101</v>
      </c>
      <c r="G58" s="41" t="s">
        <v>102</v>
      </c>
      <c r="H58" s="41">
        <v>102.0</v>
      </c>
      <c r="I58" s="41">
        <v>363.0</v>
      </c>
      <c r="J58" s="41">
        <v>1.1542917E7</v>
      </c>
      <c r="K58" s="52" t="s">
        <v>95</v>
      </c>
      <c r="L58" s="55" t="s">
        <v>97</v>
      </c>
      <c r="M58" s="53" t="s">
        <v>96</v>
      </c>
      <c r="N58" s="1"/>
    </row>
    <row r="59" ht="15.0" customHeight="1">
      <c r="A59" s="46" t="s">
        <v>177</v>
      </c>
      <c r="B59" s="46" t="s">
        <v>72</v>
      </c>
      <c r="C59" s="47">
        <v>1532739.0</v>
      </c>
      <c r="D59" s="48">
        <v>-41473.0</v>
      </c>
      <c r="E59" s="46">
        <v>1.0263688E7</v>
      </c>
      <c r="F59" s="46" t="s">
        <v>101</v>
      </c>
      <c r="G59" s="46" t="s">
        <v>114</v>
      </c>
      <c r="H59" s="46">
        <v>107.0</v>
      </c>
      <c r="I59" s="46">
        <v>2815.0</v>
      </c>
      <c r="J59" s="46">
        <v>1.1796427E7</v>
      </c>
      <c r="K59" s="49" t="s">
        <v>90</v>
      </c>
      <c r="L59" s="54" t="s">
        <v>97</v>
      </c>
      <c r="M59" s="57" t="s">
        <v>96</v>
      </c>
      <c r="N59" s="1"/>
    </row>
    <row r="60" ht="15.0" customHeight="1">
      <c r="A60" s="41" t="s">
        <v>178</v>
      </c>
      <c r="B60" s="41" t="s">
        <v>179</v>
      </c>
      <c r="C60" s="42">
        <v>1350745.0</v>
      </c>
      <c r="D60" s="43">
        <v>-23426.0</v>
      </c>
      <c r="E60" s="41">
        <v>7537107.0</v>
      </c>
      <c r="F60" s="41" t="s">
        <v>117</v>
      </c>
      <c r="G60" s="41" t="s">
        <v>102</v>
      </c>
      <c r="H60" s="41">
        <v>141.0</v>
      </c>
      <c r="I60" s="41">
        <v>753.0</v>
      </c>
      <c r="J60" s="41">
        <v>8887852.0</v>
      </c>
      <c r="K60" s="44" t="s">
        <v>90</v>
      </c>
      <c r="L60" s="55" t="s">
        <v>97</v>
      </c>
      <c r="M60" s="53" t="s">
        <v>96</v>
      </c>
      <c r="N60" s="1"/>
    </row>
    <row r="61" ht="15.0" customHeight="1">
      <c r="A61" s="46" t="s">
        <v>180</v>
      </c>
      <c r="B61" s="46" t="s">
        <v>72</v>
      </c>
      <c r="C61" s="47">
        <v>1227709.0</v>
      </c>
      <c r="D61" s="48">
        <v>-74196.0</v>
      </c>
      <c r="E61" s="46">
        <v>8956978.0</v>
      </c>
      <c r="F61" s="46" t="s">
        <v>101</v>
      </c>
      <c r="G61" s="46" t="s">
        <v>114</v>
      </c>
      <c r="H61" s="46">
        <v>190.0</v>
      </c>
      <c r="I61" s="46">
        <v>3070.0</v>
      </c>
      <c r="J61" s="46">
        <v>1.0184687E7</v>
      </c>
      <c r="K61" s="49" t="s">
        <v>90</v>
      </c>
      <c r="L61" s="54" t="s">
        <v>97</v>
      </c>
      <c r="M61" s="57" t="s">
        <v>96</v>
      </c>
      <c r="N61" s="1"/>
    </row>
    <row r="62" ht="15.0" customHeight="1">
      <c r="A62" s="41" t="s">
        <v>181</v>
      </c>
      <c r="B62" s="41" t="s">
        <v>182</v>
      </c>
      <c r="C62" s="42">
        <v>1227362.0</v>
      </c>
      <c r="D62" s="43">
        <v>-104470.0</v>
      </c>
      <c r="E62" s="41">
        <v>7508206.0</v>
      </c>
      <c r="F62" s="41" t="s">
        <v>108</v>
      </c>
      <c r="G62" s="41" t="s">
        <v>102</v>
      </c>
      <c r="H62" s="41">
        <v>191.0</v>
      </c>
      <c r="I62" s="41">
        <v>1093.0</v>
      </c>
      <c r="J62" s="41">
        <v>8735568.0</v>
      </c>
      <c r="K62" s="44" t="s">
        <v>90</v>
      </c>
      <c r="L62" s="55" t="s">
        <v>97</v>
      </c>
      <c r="M62" s="53" t="s">
        <v>96</v>
      </c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62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A623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9.0"/>
    <col customWidth="1" min="3" max="4" width="16.0"/>
    <col customWidth="1" min="5" max="5" width="14.0"/>
    <col customWidth="1" min="6" max="6" width="12.0"/>
    <col customWidth="1" min="7" max="26" width="8.71"/>
  </cols>
  <sheetData>
    <row r="1" ht="30.0" customHeight="1">
      <c r="A1" s="61" t="s">
        <v>183</v>
      </c>
      <c r="B1" s="3"/>
      <c r="C1" s="3"/>
      <c r="D1" s="3"/>
      <c r="E1" s="3"/>
      <c r="F1" s="3"/>
      <c r="G1" s="3"/>
      <c r="H1" s="3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62" t="s">
        <v>81</v>
      </c>
      <c r="B2" s="62" t="s">
        <v>30</v>
      </c>
      <c r="C2" s="62" t="s">
        <v>184</v>
      </c>
      <c r="D2" s="62" t="s">
        <v>185</v>
      </c>
      <c r="E2" s="62" t="s">
        <v>186</v>
      </c>
      <c r="F2" s="62" t="s">
        <v>85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5.75" customHeight="1">
      <c r="A3" s="63" t="s">
        <v>88</v>
      </c>
      <c r="B3" s="31">
        <v>12.0</v>
      </c>
      <c r="C3" s="64">
        <v>6.4025108E7</v>
      </c>
      <c r="D3" s="65">
        <v>5335426.0</v>
      </c>
      <c r="E3" s="66">
        <v>34.61</v>
      </c>
      <c r="F3" s="67" t="s">
        <v>187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5.75" customHeight="1">
      <c r="A4" s="68" t="s">
        <v>101</v>
      </c>
      <c r="B4" s="25">
        <v>21.0</v>
      </c>
      <c r="C4" s="69">
        <v>5.2754698E7</v>
      </c>
      <c r="D4" s="70">
        <v>2512128.0</v>
      </c>
      <c r="E4" s="71">
        <v>28.52</v>
      </c>
      <c r="F4" s="72" t="s">
        <v>187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15.75" customHeight="1">
      <c r="A5" s="73" t="s">
        <v>117</v>
      </c>
      <c r="B5" s="31">
        <v>6.0</v>
      </c>
      <c r="C5" s="65">
        <v>1.2647977E7</v>
      </c>
      <c r="D5" s="65">
        <v>2107996.0</v>
      </c>
      <c r="E5" s="66">
        <v>6.84</v>
      </c>
      <c r="F5" s="67" t="s">
        <v>188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15.75" customHeight="1">
      <c r="A6" s="74" t="s">
        <v>93</v>
      </c>
      <c r="B6" s="25">
        <v>2.0</v>
      </c>
      <c r="C6" s="70">
        <v>8262937.0</v>
      </c>
      <c r="D6" s="70">
        <v>4131468.0</v>
      </c>
      <c r="E6" s="71">
        <v>4.47</v>
      </c>
      <c r="F6" s="72" t="s">
        <v>189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15.75" customHeight="1">
      <c r="A7" s="75" t="s">
        <v>110</v>
      </c>
      <c r="B7" s="31">
        <v>3.0</v>
      </c>
      <c r="C7" s="65">
        <v>8107118.0</v>
      </c>
      <c r="D7" s="65">
        <v>2702373.0</v>
      </c>
      <c r="E7" s="66">
        <v>4.38</v>
      </c>
      <c r="F7" s="67" t="s">
        <v>190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15.75" customHeight="1">
      <c r="A8" s="76" t="s">
        <v>120</v>
      </c>
      <c r="B8" s="25">
        <v>3.0</v>
      </c>
      <c r="C8" s="70">
        <v>6215219.0</v>
      </c>
      <c r="D8" s="70">
        <v>2071740.0</v>
      </c>
      <c r="E8" s="71">
        <v>3.36</v>
      </c>
      <c r="F8" s="72" t="s">
        <v>190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15.75" customHeight="1">
      <c r="A9" s="63" t="s">
        <v>108</v>
      </c>
      <c r="B9" s="31">
        <v>2.0</v>
      </c>
      <c r="C9" s="65">
        <v>4810678.0</v>
      </c>
      <c r="D9" s="65">
        <v>2405339.0</v>
      </c>
      <c r="E9" s="66">
        <v>2.6</v>
      </c>
      <c r="F9" s="67" t="s">
        <v>189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15.75" customHeight="1">
      <c r="A10" s="68" t="s">
        <v>98</v>
      </c>
      <c r="B10" s="25">
        <v>1.0</v>
      </c>
      <c r="C10" s="70">
        <v>4738329.0</v>
      </c>
      <c r="D10" s="70">
        <v>4738329.0</v>
      </c>
      <c r="E10" s="71">
        <v>2.56</v>
      </c>
      <c r="F10" s="72" t="s">
        <v>191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ht="15.75" customHeight="1">
      <c r="A11" s="73" t="s">
        <v>104</v>
      </c>
      <c r="B11" s="31">
        <v>1.0</v>
      </c>
      <c r="C11" s="65">
        <v>4108838.0</v>
      </c>
      <c r="D11" s="65">
        <v>4108838.0</v>
      </c>
      <c r="E11" s="66">
        <v>2.22</v>
      </c>
      <c r="F11" s="67" t="s">
        <v>191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15.75" customHeight="1">
      <c r="A12" s="74" t="s">
        <v>105</v>
      </c>
      <c r="B12" s="25">
        <v>1.0</v>
      </c>
      <c r="C12" s="70">
        <v>3876044.0</v>
      </c>
      <c r="D12" s="70">
        <v>3876044.0</v>
      </c>
      <c r="E12" s="71">
        <v>2.1</v>
      </c>
      <c r="F12" s="72" t="s">
        <v>191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15.75" customHeight="1">
      <c r="A13" s="75" t="s">
        <v>141</v>
      </c>
      <c r="B13" s="31">
        <v>2.0</v>
      </c>
      <c r="C13" s="65">
        <v>3516783.0</v>
      </c>
      <c r="D13" s="65">
        <v>1758392.0</v>
      </c>
      <c r="E13" s="66">
        <v>1.9</v>
      </c>
      <c r="F13" s="67" t="s">
        <v>189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ht="15.75" customHeight="1">
      <c r="A14" s="74" t="s">
        <v>135</v>
      </c>
      <c r="B14" s="25">
        <v>2.0</v>
      </c>
      <c r="C14" s="70">
        <v>3295917.0</v>
      </c>
      <c r="D14" s="70">
        <v>1647958.0</v>
      </c>
      <c r="E14" s="71">
        <v>1.78</v>
      </c>
      <c r="F14" s="72" t="s">
        <v>189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15.75" customHeight="1">
      <c r="A15" s="75" t="s">
        <v>125</v>
      </c>
      <c r="B15" s="31">
        <v>1.0</v>
      </c>
      <c r="C15" s="65">
        <v>2367833.0</v>
      </c>
      <c r="D15" s="65">
        <v>2367833.0</v>
      </c>
      <c r="E15" s="66">
        <v>1.28</v>
      </c>
      <c r="F15" s="67" t="s">
        <v>191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15.75" customHeight="1">
      <c r="A16" s="76" t="s">
        <v>153</v>
      </c>
      <c r="B16" s="25">
        <v>1.0</v>
      </c>
      <c r="C16" s="70">
        <v>1669648.0</v>
      </c>
      <c r="D16" s="70">
        <v>1669648.0</v>
      </c>
      <c r="E16" s="71">
        <v>0.9</v>
      </c>
      <c r="F16" s="72" t="s">
        <v>191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15.75" customHeight="1">
      <c r="A17" s="63" t="s">
        <v>156</v>
      </c>
      <c r="B17" s="31">
        <v>1.0</v>
      </c>
      <c r="C17" s="65">
        <v>1647656.0</v>
      </c>
      <c r="D17" s="65">
        <v>1647656.0</v>
      </c>
      <c r="E17" s="66">
        <v>0.89</v>
      </c>
      <c r="F17" s="67" t="s">
        <v>191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15.75" customHeight="1">
      <c r="A18" s="68" t="s">
        <v>174</v>
      </c>
      <c r="B18" s="25">
        <v>1.0</v>
      </c>
      <c r="C18" s="70">
        <v>1507387.0</v>
      </c>
      <c r="D18" s="70">
        <v>1507387.0</v>
      </c>
      <c r="E18" s="71">
        <v>0.81</v>
      </c>
      <c r="F18" s="72" t="s">
        <v>191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15.75" customHeight="1">
      <c r="A19" s="73" t="s">
        <v>159</v>
      </c>
      <c r="B19" s="31">
        <v>1.0</v>
      </c>
      <c r="C19" s="65">
        <v>1448450.0</v>
      </c>
      <c r="D19" s="65">
        <v>1448450.0</v>
      </c>
      <c r="E19" s="66">
        <v>0.78</v>
      </c>
      <c r="F19" s="67" t="s">
        <v>191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conditionalFormatting sqref="C3:C19">
    <cfRule type="colorScale" priority="1">
      <colorScale>
        <cfvo type="min" val="0"/>
        <cfvo type="max" val="0"/>
        <color rgb="FF1A2230"/>
        <color rgb="FF00D4FF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B954"/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14.0"/>
    <col customWidth="1" min="4" max="4" width="13.0"/>
    <col customWidth="1" min="5" max="5" width="14.0"/>
    <col customWidth="1" min="6" max="6" width="16.0"/>
    <col customWidth="1" min="7" max="26" width="8.71"/>
  </cols>
  <sheetData>
    <row r="1" ht="30.0" customHeight="1">
      <c r="A1" s="77" t="s">
        <v>192</v>
      </c>
      <c r="B1" s="3"/>
      <c r="C1" s="3"/>
      <c r="D1" s="3"/>
      <c r="E1" s="3"/>
      <c r="F1" s="3"/>
      <c r="G1" s="3"/>
      <c r="H1" s="3"/>
      <c r="I1" s="3"/>
      <c r="J1" s="3"/>
      <c r="K1" s="4"/>
      <c r="L1" s="1"/>
      <c r="M1" s="1"/>
      <c r="N1" s="1"/>
      <c r="O1" s="1"/>
      <c r="P1" s="1"/>
      <c r="Q1" s="1"/>
      <c r="R1" s="1"/>
      <c r="S1" s="1"/>
      <c r="T1" s="1"/>
    </row>
    <row r="2">
      <c r="A2" s="78" t="s">
        <v>193</v>
      </c>
      <c r="B2" s="3"/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79" t="s">
        <v>25</v>
      </c>
      <c r="B3" s="79" t="s">
        <v>26</v>
      </c>
      <c r="C3" s="79" t="s">
        <v>27</v>
      </c>
      <c r="D3" s="79" t="s">
        <v>194</v>
      </c>
      <c r="E3" s="79" t="s">
        <v>28</v>
      </c>
      <c r="F3" s="79" t="s">
        <v>81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5.75" customHeight="1">
      <c r="A4" s="80" t="s">
        <v>38</v>
      </c>
      <c r="B4" s="81" t="s">
        <v>39</v>
      </c>
      <c r="C4" s="82">
        <v>5733862.0</v>
      </c>
      <c r="D4" s="83">
        <v>178968.0</v>
      </c>
      <c r="E4" s="84">
        <v>3.6599831E7</v>
      </c>
      <c r="F4" s="85" t="s">
        <v>93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15.75" customHeight="1">
      <c r="A5" s="86" t="s">
        <v>171</v>
      </c>
      <c r="B5" s="87" t="s">
        <v>40</v>
      </c>
      <c r="C5" s="88">
        <v>1508958.0</v>
      </c>
      <c r="D5" s="89">
        <v>144568.0</v>
      </c>
      <c r="E5" s="90">
        <v>1.0366342E7</v>
      </c>
      <c r="F5" s="91" t="s">
        <v>101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15.75" customHeight="1">
      <c r="A6" s="80" t="s">
        <v>129</v>
      </c>
      <c r="B6" s="81" t="s">
        <v>130</v>
      </c>
      <c r="C6" s="82">
        <v>2090231.0</v>
      </c>
      <c r="D6" s="83">
        <v>129461.0</v>
      </c>
      <c r="E6" s="84">
        <v>1.3021976E7</v>
      </c>
      <c r="F6" s="85" t="s">
        <v>101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15.75" customHeight="1">
      <c r="A7" s="86" t="s">
        <v>169</v>
      </c>
      <c r="B7" s="87" t="s">
        <v>170</v>
      </c>
      <c r="C7" s="88">
        <v>1564019.0</v>
      </c>
      <c r="D7" s="89">
        <v>112870.0</v>
      </c>
      <c r="E7" s="90">
        <v>1.0014833E7</v>
      </c>
      <c r="F7" s="91" t="s">
        <v>141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15.75" customHeight="1">
      <c r="A8" s="80" t="s">
        <v>143</v>
      </c>
      <c r="B8" s="81" t="s">
        <v>144</v>
      </c>
      <c r="C8" s="82">
        <v>1894536.0</v>
      </c>
      <c r="D8" s="83">
        <v>109844.0</v>
      </c>
      <c r="E8" s="84">
        <v>1.1986886E7</v>
      </c>
      <c r="F8" s="85" t="s">
        <v>117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15.75" customHeight="1">
      <c r="A9" s="86" t="s">
        <v>149</v>
      </c>
      <c r="B9" s="87" t="s">
        <v>62</v>
      </c>
      <c r="C9" s="88">
        <v>1610233.0</v>
      </c>
      <c r="D9" s="89">
        <v>106290.0</v>
      </c>
      <c r="E9" s="90">
        <v>1.0117917E7</v>
      </c>
      <c r="F9" s="91" t="s">
        <v>120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15.75" customHeight="1">
      <c r="A10" s="80" t="s">
        <v>128</v>
      </c>
      <c r="B10" s="81" t="s">
        <v>50</v>
      </c>
      <c r="C10" s="82">
        <v>2213750.0</v>
      </c>
      <c r="D10" s="83">
        <v>90339.0</v>
      </c>
      <c r="E10" s="84">
        <v>1.3566149E7</v>
      </c>
      <c r="F10" s="85" t="s">
        <v>101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ht="15.75" customHeight="1">
      <c r="A11" s="86" t="s">
        <v>139</v>
      </c>
      <c r="B11" s="87" t="s">
        <v>140</v>
      </c>
      <c r="C11" s="88">
        <v>1952764.0</v>
      </c>
      <c r="D11" s="89">
        <v>66159.0</v>
      </c>
      <c r="E11" s="90">
        <v>1.2629601E7</v>
      </c>
      <c r="F11" s="91" t="s">
        <v>141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15.75" customHeight="1">
      <c r="A12" s="80" t="s">
        <v>172</v>
      </c>
      <c r="B12" s="81" t="s">
        <v>173</v>
      </c>
      <c r="C12" s="82">
        <v>1507387.0</v>
      </c>
      <c r="D12" s="83">
        <v>52997.0</v>
      </c>
      <c r="E12" s="84">
        <v>9344647.0</v>
      </c>
      <c r="F12" s="85" t="s">
        <v>174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15.75" customHeight="1">
      <c r="A13" s="86" t="s">
        <v>67</v>
      </c>
      <c r="B13" s="87" t="s">
        <v>56</v>
      </c>
      <c r="C13" s="88">
        <v>4108838.0</v>
      </c>
      <c r="D13" s="89">
        <v>51706.0</v>
      </c>
      <c r="E13" s="90">
        <v>2.7783861E7</v>
      </c>
      <c r="F13" s="91" t="s">
        <v>104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ht="15.75" customHeight="1">
      <c r="A14" s="80" t="s">
        <v>166</v>
      </c>
      <c r="B14" s="81" t="s">
        <v>167</v>
      </c>
      <c r="C14" s="82">
        <v>1540953.0</v>
      </c>
      <c r="D14" s="83">
        <v>46742.0</v>
      </c>
      <c r="E14" s="84">
        <v>9623813.0</v>
      </c>
      <c r="F14" s="85" t="s">
        <v>110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15.75" customHeight="1">
      <c r="A15" s="86" t="s">
        <v>160</v>
      </c>
      <c r="B15" s="87" t="s">
        <v>161</v>
      </c>
      <c r="C15" s="88">
        <v>1283948.0</v>
      </c>
      <c r="D15" s="89">
        <v>40456.0</v>
      </c>
      <c r="E15" s="90">
        <v>6149401.0</v>
      </c>
      <c r="F15" s="91" t="s">
        <v>101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15.75" customHeight="1">
      <c r="A16" s="80" t="s">
        <v>73</v>
      </c>
      <c r="B16" s="81" t="s">
        <v>43</v>
      </c>
      <c r="C16" s="82">
        <v>3932082.0</v>
      </c>
      <c r="D16" s="83">
        <v>33687.0</v>
      </c>
      <c r="E16" s="84">
        <v>2.7406397E7</v>
      </c>
      <c r="F16" s="85" t="s">
        <v>101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15.75" customHeight="1">
      <c r="A17" s="86" t="s">
        <v>124</v>
      </c>
      <c r="B17" s="87" t="s">
        <v>78</v>
      </c>
      <c r="C17" s="88">
        <v>2367833.0</v>
      </c>
      <c r="D17" s="89">
        <v>25446.0</v>
      </c>
      <c r="E17" s="90">
        <v>1.6070168E7</v>
      </c>
      <c r="F17" s="91" t="s">
        <v>125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15.75" customHeight="1">
      <c r="A18" s="80" t="s">
        <v>123</v>
      </c>
      <c r="B18" s="81" t="s">
        <v>76</v>
      </c>
      <c r="C18" s="82">
        <v>2529075.0</v>
      </c>
      <c r="D18" s="83">
        <v>24180.0</v>
      </c>
      <c r="E18" s="84">
        <v>1.7056445E7</v>
      </c>
      <c r="F18" s="85" t="s">
        <v>93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15.75" customHeight="1">
      <c r="A19" s="86" t="s">
        <v>175</v>
      </c>
      <c r="B19" s="87" t="s">
        <v>176</v>
      </c>
      <c r="C19" s="88">
        <v>1551069.0</v>
      </c>
      <c r="D19" s="89">
        <v>20972.0</v>
      </c>
      <c r="E19" s="90">
        <v>9991848.0</v>
      </c>
      <c r="F19" s="91" t="s">
        <v>101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ht="15.75" customHeight="1">
      <c r="A20" s="80" t="s">
        <v>147</v>
      </c>
      <c r="B20" s="81" t="s">
        <v>148</v>
      </c>
      <c r="C20" s="82">
        <v>1621060.0</v>
      </c>
      <c r="D20" s="83">
        <v>15852.0</v>
      </c>
      <c r="E20" s="84">
        <v>1.0803226E7</v>
      </c>
      <c r="F20" s="85" t="s">
        <v>101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ht="15.75" customHeight="1">
      <c r="A21" s="86" t="s">
        <v>157</v>
      </c>
      <c r="B21" s="87" t="s">
        <v>158</v>
      </c>
      <c r="C21" s="88">
        <v>1448450.0</v>
      </c>
      <c r="D21" s="89">
        <v>11224.0</v>
      </c>
      <c r="E21" s="90">
        <v>9729402.0</v>
      </c>
      <c r="F21" s="91" t="s">
        <v>159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15.75" customHeight="1">
      <c r="A22" s="80" t="s">
        <v>163</v>
      </c>
      <c r="B22" s="81" t="s">
        <v>47</v>
      </c>
      <c r="C22" s="82">
        <v>1268541.0</v>
      </c>
      <c r="D22" s="83">
        <v>9198.0</v>
      </c>
      <c r="E22" s="84">
        <v>2527884.0</v>
      </c>
      <c r="F22" s="85" t="s">
        <v>101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15.75" customHeight="1">
      <c r="A23" s="86" t="s">
        <v>113</v>
      </c>
      <c r="B23" s="87" t="s">
        <v>68</v>
      </c>
      <c r="C23" s="88">
        <v>3241010.0</v>
      </c>
      <c r="D23" s="89">
        <v>5314.0</v>
      </c>
      <c r="E23" s="90">
        <v>2.206893E7</v>
      </c>
      <c r="F23" s="91" t="s">
        <v>101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7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15.75" customHeight="1">
      <c r="A27" s="92" t="s">
        <v>195</v>
      </c>
      <c r="B27" s="3"/>
      <c r="C27" s="3"/>
      <c r="D27" s="3"/>
      <c r="E27" s="3"/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15.75" customHeight="1">
      <c r="A28" s="93" t="s">
        <v>25</v>
      </c>
      <c r="B28" s="93" t="s">
        <v>26</v>
      </c>
      <c r="C28" s="93" t="s">
        <v>27</v>
      </c>
      <c r="D28" s="93" t="s">
        <v>194</v>
      </c>
      <c r="E28" s="93" t="s">
        <v>28</v>
      </c>
      <c r="F28" s="93" t="s">
        <v>81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15.75" customHeight="1">
      <c r="A29" s="86" t="s">
        <v>35</v>
      </c>
      <c r="B29" s="87" t="s">
        <v>33</v>
      </c>
      <c r="C29" s="94">
        <v>6815694.0</v>
      </c>
      <c r="D29" s="95">
        <v>-4369341.0</v>
      </c>
      <c r="E29" s="90">
        <v>1.8000729E7</v>
      </c>
      <c r="F29" s="91" t="s">
        <v>88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5.75" customHeight="1">
      <c r="A30" s="80" t="s">
        <v>42</v>
      </c>
      <c r="B30" s="81" t="s">
        <v>33</v>
      </c>
      <c r="C30" s="96">
        <v>5338608.0</v>
      </c>
      <c r="D30" s="97">
        <v>-3396855.0</v>
      </c>
      <c r="E30" s="84">
        <v>1.4074071E7</v>
      </c>
      <c r="F30" s="85" t="s">
        <v>88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5.75" customHeight="1">
      <c r="A31" s="86" t="s">
        <v>32</v>
      </c>
      <c r="B31" s="87" t="s">
        <v>33</v>
      </c>
      <c r="C31" s="94">
        <v>1.127383E7</v>
      </c>
      <c r="D31" s="95">
        <v>-3370522.0</v>
      </c>
      <c r="E31" s="90">
        <v>2.5918182E7</v>
      </c>
      <c r="F31" s="91" t="s">
        <v>88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15.75" customHeight="1">
      <c r="A32" s="80" t="s">
        <v>51</v>
      </c>
      <c r="B32" s="81" t="s">
        <v>33</v>
      </c>
      <c r="C32" s="96">
        <v>4718569.0</v>
      </c>
      <c r="D32" s="97">
        <v>-3036604.0</v>
      </c>
      <c r="E32" s="84">
        <v>1.2473742E7</v>
      </c>
      <c r="F32" s="85" t="s">
        <v>88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5.75" customHeight="1">
      <c r="A33" s="86" t="s">
        <v>44</v>
      </c>
      <c r="B33" s="87" t="s">
        <v>33</v>
      </c>
      <c r="C33" s="94">
        <v>5196767.0</v>
      </c>
      <c r="D33" s="95">
        <v>-2873904.0</v>
      </c>
      <c r="E33" s="90">
        <v>1.3267438E7</v>
      </c>
      <c r="F33" s="91" t="s">
        <v>88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5.75" customHeight="1">
      <c r="A34" s="80" t="s">
        <v>53</v>
      </c>
      <c r="B34" s="81" t="s">
        <v>33</v>
      </c>
      <c r="C34" s="96">
        <v>4573989.0</v>
      </c>
      <c r="D34" s="97">
        <v>-2809104.0</v>
      </c>
      <c r="E34" s="84">
        <v>1.1957082E7</v>
      </c>
      <c r="F34" s="85" t="s">
        <v>88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5.75" customHeight="1">
      <c r="A35" s="86" t="s">
        <v>57</v>
      </c>
      <c r="B35" s="87" t="s">
        <v>33</v>
      </c>
      <c r="C35" s="94">
        <v>4490039.0</v>
      </c>
      <c r="D35" s="95">
        <v>-2740868.0</v>
      </c>
      <c r="E35" s="90">
        <v>1.1720946E7</v>
      </c>
      <c r="F35" s="91" t="s">
        <v>88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5.75" customHeight="1">
      <c r="A36" s="80" t="s">
        <v>46</v>
      </c>
      <c r="B36" s="81" t="s">
        <v>33</v>
      </c>
      <c r="C36" s="96">
        <v>4749288.0</v>
      </c>
      <c r="D36" s="97">
        <v>-2410388.0</v>
      </c>
      <c r="E36" s="84">
        <v>1.1908964E7</v>
      </c>
      <c r="F36" s="85" t="s">
        <v>88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5.75" customHeight="1">
      <c r="A37" s="86" t="s">
        <v>59</v>
      </c>
      <c r="B37" s="87" t="s">
        <v>33</v>
      </c>
      <c r="C37" s="94">
        <v>4423675.0</v>
      </c>
      <c r="D37" s="95">
        <v>-2305775.0</v>
      </c>
      <c r="E37" s="90">
        <v>1.1153125E7</v>
      </c>
      <c r="F37" s="91" t="s">
        <v>88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5.75" customHeight="1">
      <c r="A38" s="80" t="s">
        <v>55</v>
      </c>
      <c r="B38" s="81" t="s">
        <v>33</v>
      </c>
      <c r="C38" s="96">
        <v>4567309.0</v>
      </c>
      <c r="D38" s="97">
        <v>-2259887.0</v>
      </c>
      <c r="E38" s="84">
        <v>1.1394505E7</v>
      </c>
      <c r="F38" s="85" t="s">
        <v>88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5.75" customHeight="1">
      <c r="A39" s="86" t="s">
        <v>71</v>
      </c>
      <c r="B39" s="87" t="s">
        <v>33</v>
      </c>
      <c r="C39" s="94">
        <v>3979999.0</v>
      </c>
      <c r="D39" s="95">
        <v>-2153273.0</v>
      </c>
      <c r="E39" s="90">
        <v>1.0113271E7</v>
      </c>
      <c r="F39" s="91" t="s">
        <v>88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5.75" customHeight="1">
      <c r="A40" s="80" t="s">
        <v>75</v>
      </c>
      <c r="B40" s="81" t="s">
        <v>33</v>
      </c>
      <c r="C40" s="96">
        <v>3897341.0</v>
      </c>
      <c r="D40" s="97">
        <v>-2024958.0</v>
      </c>
      <c r="E40" s="84">
        <v>9819640.0</v>
      </c>
      <c r="F40" s="85" t="s">
        <v>88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5.75" customHeight="1">
      <c r="A41" s="86" t="s">
        <v>69</v>
      </c>
      <c r="B41" s="87" t="s">
        <v>40</v>
      </c>
      <c r="C41" s="94">
        <v>4007478.0</v>
      </c>
      <c r="D41" s="95">
        <v>-499146.0</v>
      </c>
      <c r="E41" s="90">
        <v>3.1739152E7</v>
      </c>
      <c r="F41" s="91" t="s">
        <v>101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5.75" customHeight="1">
      <c r="A42" s="80" t="s">
        <v>116</v>
      </c>
      <c r="B42" s="81" t="s">
        <v>54</v>
      </c>
      <c r="C42" s="96">
        <v>3101460.0</v>
      </c>
      <c r="D42" s="97">
        <v>-420059.0</v>
      </c>
      <c r="E42" s="84">
        <v>2.4771218E7</v>
      </c>
      <c r="F42" s="85" t="s">
        <v>117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5.75" customHeight="1">
      <c r="A43" s="86" t="s">
        <v>48</v>
      </c>
      <c r="B43" s="87" t="s">
        <v>49</v>
      </c>
      <c r="C43" s="94">
        <v>4738329.0</v>
      </c>
      <c r="D43" s="95">
        <v>-235112.0</v>
      </c>
      <c r="E43" s="90">
        <v>3.4238168E7</v>
      </c>
      <c r="F43" s="91" t="s">
        <v>98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F2"/>
    <mergeCell ref="A27:F27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CF6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16.0"/>
    <col customWidth="1" min="3" max="3" width="9.0"/>
    <col customWidth="1" min="4" max="4" width="15.0"/>
    <col customWidth="1" min="5" max="6" width="16.0"/>
    <col customWidth="1" min="7" max="7" width="14.0"/>
    <col customWidth="1" min="8" max="26" width="8.71"/>
  </cols>
  <sheetData>
    <row r="1" ht="30.0" customHeight="1">
      <c r="A1" s="98" t="s">
        <v>196</v>
      </c>
      <c r="B1" s="3"/>
      <c r="C1" s="3"/>
      <c r="D1" s="3"/>
      <c r="E1" s="3"/>
      <c r="F1" s="3"/>
      <c r="G1" s="3"/>
      <c r="H1" s="3"/>
      <c r="I1" s="3"/>
      <c r="J1" s="4"/>
      <c r="K1" s="1"/>
      <c r="L1" s="1"/>
    </row>
    <row r="2">
      <c r="A2" s="99" t="s">
        <v>197</v>
      </c>
      <c r="B2" s="99" t="s">
        <v>29</v>
      </c>
      <c r="C2" s="99" t="s">
        <v>30</v>
      </c>
      <c r="D2" s="99" t="s">
        <v>198</v>
      </c>
      <c r="E2" s="99" t="s">
        <v>184</v>
      </c>
      <c r="F2" s="99" t="s">
        <v>185</v>
      </c>
      <c r="G2" s="99" t="s">
        <v>186</v>
      </c>
      <c r="H2" s="1"/>
      <c r="I2" s="1"/>
      <c r="J2" s="1"/>
      <c r="K2" s="1"/>
      <c r="L2" s="1"/>
    </row>
    <row r="3" ht="18.0" customHeight="1">
      <c r="A3" s="100" t="s">
        <v>199</v>
      </c>
      <c r="B3" s="63" t="s">
        <v>89</v>
      </c>
      <c r="C3" s="101">
        <v>12.0</v>
      </c>
      <c r="D3" s="101">
        <v>1.0</v>
      </c>
      <c r="E3" s="64">
        <v>6.4025108E7</v>
      </c>
      <c r="F3" s="65">
        <v>5335426.0</v>
      </c>
      <c r="G3" s="66">
        <v>34.61</v>
      </c>
      <c r="H3" s="1"/>
      <c r="I3" s="1"/>
      <c r="J3" s="1"/>
      <c r="K3" s="1"/>
      <c r="L3" s="1"/>
    </row>
    <row r="4" ht="18.0" customHeight="1">
      <c r="A4" s="102" t="s">
        <v>200</v>
      </c>
      <c r="B4" s="103" t="s">
        <v>102</v>
      </c>
      <c r="C4" s="104">
        <v>24.0</v>
      </c>
      <c r="D4" s="104">
        <v>18.0</v>
      </c>
      <c r="E4" s="69">
        <v>6.0111055E7</v>
      </c>
      <c r="F4" s="70">
        <v>2504627.0</v>
      </c>
      <c r="G4" s="71">
        <v>32.49</v>
      </c>
      <c r="H4" s="1"/>
      <c r="I4" s="1"/>
      <c r="J4" s="1"/>
      <c r="K4" s="1"/>
      <c r="L4" s="1"/>
    </row>
    <row r="5" ht="18.0" customHeight="1">
      <c r="A5" s="100" t="s">
        <v>201</v>
      </c>
      <c r="B5" s="63" t="s">
        <v>114</v>
      </c>
      <c r="C5" s="101">
        <v>10.0</v>
      </c>
      <c r="D5" s="101">
        <v>8.0</v>
      </c>
      <c r="E5" s="65">
        <v>2.0003962E7</v>
      </c>
      <c r="F5" s="65">
        <v>2000396.0</v>
      </c>
      <c r="G5" s="66">
        <v>10.81</v>
      </c>
      <c r="H5" s="1"/>
      <c r="I5" s="1"/>
      <c r="J5" s="1"/>
      <c r="K5" s="1"/>
      <c r="L5" s="1"/>
    </row>
    <row r="6" ht="18.0" customHeight="1">
      <c r="A6" s="102" t="s">
        <v>202</v>
      </c>
      <c r="B6" s="103" t="s">
        <v>99</v>
      </c>
      <c r="C6" s="104">
        <v>4.0</v>
      </c>
      <c r="D6" s="104">
        <v>3.0</v>
      </c>
      <c r="E6" s="70">
        <v>1.1118212E7</v>
      </c>
      <c r="F6" s="70">
        <v>2779553.0</v>
      </c>
      <c r="G6" s="71">
        <v>6.01</v>
      </c>
      <c r="H6" s="1"/>
      <c r="I6" s="1"/>
      <c r="J6" s="1"/>
      <c r="K6" s="1"/>
      <c r="L6" s="1"/>
    </row>
    <row r="7" ht="18.0" customHeight="1">
      <c r="A7" s="100" t="s">
        <v>203</v>
      </c>
      <c r="B7" s="63" t="s">
        <v>103</v>
      </c>
      <c r="C7" s="101">
        <v>3.0</v>
      </c>
      <c r="D7" s="101">
        <v>1.0</v>
      </c>
      <c r="E7" s="65">
        <v>1.0840907E7</v>
      </c>
      <c r="F7" s="65">
        <v>3613636.0</v>
      </c>
      <c r="G7" s="66">
        <v>5.86</v>
      </c>
      <c r="H7" s="1"/>
      <c r="I7" s="1"/>
      <c r="J7" s="1"/>
      <c r="K7" s="1"/>
      <c r="L7" s="1"/>
    </row>
    <row r="8" ht="18.0" customHeight="1">
      <c r="A8" s="102" t="s">
        <v>200</v>
      </c>
      <c r="B8" s="103" t="s">
        <v>94</v>
      </c>
      <c r="C8" s="104">
        <v>1.0</v>
      </c>
      <c r="D8" s="104">
        <v>1.0</v>
      </c>
      <c r="E8" s="70">
        <v>5733862.0</v>
      </c>
      <c r="F8" s="70">
        <v>5733862.0</v>
      </c>
      <c r="G8" s="71">
        <v>3.1</v>
      </c>
      <c r="H8" s="1"/>
      <c r="I8" s="1"/>
      <c r="J8" s="1"/>
      <c r="K8" s="1"/>
      <c r="L8" s="1"/>
    </row>
    <row r="9" ht="18.0" customHeight="1">
      <c r="A9" s="100" t="s">
        <v>204</v>
      </c>
      <c r="B9" s="63" t="s">
        <v>142</v>
      </c>
      <c r="C9" s="101">
        <v>2.0</v>
      </c>
      <c r="D9" s="101">
        <v>2.0</v>
      </c>
      <c r="E9" s="65">
        <v>3516783.0</v>
      </c>
      <c r="F9" s="65">
        <v>1758392.0</v>
      </c>
      <c r="G9" s="66">
        <v>1.9</v>
      </c>
      <c r="H9" s="1"/>
      <c r="I9" s="1"/>
      <c r="J9" s="1"/>
      <c r="K9" s="1"/>
      <c r="L9" s="1"/>
    </row>
    <row r="10" ht="18.0" customHeight="1">
      <c r="A10" s="102" t="s">
        <v>205</v>
      </c>
      <c r="B10" s="103" t="s">
        <v>136</v>
      </c>
      <c r="C10" s="104">
        <v>2.0</v>
      </c>
      <c r="D10" s="104">
        <v>2.0</v>
      </c>
      <c r="E10" s="70">
        <v>3483873.0</v>
      </c>
      <c r="F10" s="70">
        <v>1741936.0</v>
      </c>
      <c r="G10" s="71">
        <v>1.88</v>
      </c>
      <c r="H10" s="1"/>
      <c r="I10" s="1"/>
      <c r="J10" s="1"/>
      <c r="K10" s="1"/>
      <c r="L10" s="1"/>
    </row>
    <row r="11" ht="18.0" customHeight="1">
      <c r="A11" s="100" t="s">
        <v>206</v>
      </c>
      <c r="B11" s="63" t="s">
        <v>112</v>
      </c>
      <c r="C11" s="101">
        <v>1.0</v>
      </c>
      <c r="D11" s="101">
        <v>1.0</v>
      </c>
      <c r="E11" s="65">
        <v>3341957.0</v>
      </c>
      <c r="F11" s="65">
        <v>3341957.0</v>
      </c>
      <c r="G11" s="66">
        <v>1.81</v>
      </c>
      <c r="H11" s="1"/>
      <c r="I11" s="1"/>
      <c r="J11" s="1"/>
      <c r="K11" s="1"/>
      <c r="L11" s="1"/>
    </row>
    <row r="12" ht="18.0" customHeight="1">
      <c r="A12" s="102" t="s">
        <v>207</v>
      </c>
      <c r="B12" s="103" t="s">
        <v>168</v>
      </c>
      <c r="C12" s="104">
        <v>1.0</v>
      </c>
      <c r="D12" s="104">
        <v>1.0</v>
      </c>
      <c r="E12" s="70">
        <v>1540953.0</v>
      </c>
      <c r="F12" s="70">
        <v>1540953.0</v>
      </c>
      <c r="G12" s="71">
        <v>0.83</v>
      </c>
      <c r="H12" s="1"/>
      <c r="I12" s="1"/>
      <c r="J12" s="1"/>
      <c r="K12" s="1"/>
      <c r="L12" s="1"/>
    </row>
    <row r="13" ht="18.0" customHeight="1">
      <c r="A13" s="100" t="s">
        <v>208</v>
      </c>
      <c r="B13" s="63" t="s">
        <v>162</v>
      </c>
      <c r="C13" s="101">
        <v>1.0</v>
      </c>
      <c r="D13" s="101">
        <v>1.0</v>
      </c>
      <c r="E13" s="65">
        <v>1283948.0</v>
      </c>
      <c r="F13" s="65">
        <v>1283948.0</v>
      </c>
      <c r="G13" s="66">
        <v>0.69</v>
      </c>
      <c r="H13" s="1"/>
      <c r="I13" s="1"/>
      <c r="J13" s="1"/>
      <c r="K13" s="1"/>
      <c r="L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conditionalFormatting sqref="E3:E13">
    <cfRule type="colorScale" priority="1">
      <colorScale>
        <cfvo type="min" val="0"/>
        <cfvo type="max" val="0"/>
        <color rgb="FF1A2230"/>
        <color rgb="FF00D4FF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2026-04-01T19:23:06Z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